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DICK" sheetId="1" state="visible" r:id="rId1"/>
    <sheet name="RENALDO" sheetId="2" state="visible" r:id="rId2"/>
    <sheet name="MANOEL" sheetId="3" state="visible" r:id="rId3"/>
  </sheets>
  <definedNames>
    <definedName name="_xlnm._FilterDatabase" localSheetId="0" hidden="1">'VALDICK'!$A$4:$F$16</definedName>
    <definedName name="_xlnm._FilterDatabase" localSheetId="1" hidden="1">'RENALDO'!$A$4:$F$16</definedName>
    <definedName name="_xlnm._FilterDatabase" localSheetId="2" hidden="1">'MANOEL'!$A$4:$F$16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-R$ #,##0.00;&quot;-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000000"/>
      <sz val="9"/>
    </font>
    <font>
      <name val="Arial"/>
      <b val="1"/>
      <color rgb="00000000"/>
      <sz val="11"/>
    </font>
    <font>
      <name val="Arial"/>
      <b val="1"/>
      <color rgb="001F3864"/>
      <sz val="9"/>
    </font>
    <font>
      <name val="Arial"/>
      <b val="1"/>
      <color rgb="00C00000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0" borderId="1" pivotButton="0" quotePrefix="0" xfId="0"/>
    <xf numFmtId="164" fontId="5" fillId="4" borderId="1" pivotButton="0" quotePrefix="0" xfId="0"/>
    <xf numFmtId="164" fontId="6" fillId="0" borderId="1" pivotButton="0" quotePrefix="0" xfId="0"/>
    <xf numFmtId="164" fontId="4" fillId="5" borderId="1" pivotButton="0" quotePrefix="0" xfId="0"/>
    <xf numFmtId="0" fontId="7" fillId="0" borderId="1" applyAlignment="1" pivotButton="0" quotePrefix="0" xfId="0">
      <alignment vertical="center" wrapText="1"/>
    </xf>
    <xf numFmtId="0" fontId="4" fillId="5" borderId="1" pivotButton="0" quotePrefix="0" xfId="0"/>
    <xf numFmtId="0" fontId="0" fillId="5" borderId="1" pivotButton="0" quotePrefix="0" xfId="0"/>
    <xf numFmtId="0" fontId="8" fillId="6" borderId="1" pivotButton="0" quotePrefix="0" xfId="0"/>
    <xf numFmtId="164" fontId="8" fillId="6" borderId="1" pivotButton="0" quotePrefix="0" xfId="0"/>
    <xf numFmtId="0" fontId="9" fillId="6" borderId="1" applyAlignment="1" pivotButton="0" quotePrefix="0" xfId="0">
      <alignment vertical="center" wrapText="1"/>
    </xf>
    <xf numFmtId="0" fontId="10" fillId="7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60" customWidth="1" min="6" max="6"/>
  </cols>
  <sheetData>
    <row r="1" ht="26" customHeight="1">
      <c r="A1" s="1" t="inlineStr">
        <is>
          <t>MÉDIA DE COMISSÕES DOS ÚLTIMOS 12 MESES — VALDICK GONÇALVES RODRIGUES</t>
        </is>
      </c>
    </row>
    <row r="2">
      <c r="A2" s="2" t="inlineStr">
        <is>
          <t>Loja TRANCOSO · código 162 · período 01/09/2025 a 31/08/2026 · base para férias de 01 a 30/09/2026</t>
        </is>
      </c>
    </row>
    <row r="4" ht="28" customHeight="1">
      <c r="A4" s="3" t="inlineStr">
        <is>
          <t>MÊS</t>
        </is>
      </c>
      <c r="B4" s="3" t="inlineStr">
        <is>
          <t>COMISSÃO APURADA</t>
        </is>
      </c>
      <c r="C4" s="3" t="inlineStr">
        <is>
          <t>INCENTIVOS</t>
        </is>
      </c>
      <c r="D4" s="3" t="inlineStr">
        <is>
          <t>COMISSÃO PAGA</t>
        </is>
      </c>
      <c r="E4" s="3" t="inlineStr">
        <is>
          <t>TOTAL VARIÁVEL</t>
        </is>
      </c>
      <c r="F4" s="3" t="inlineStr">
        <is>
          <t>OBSERVAÇÃO</t>
        </is>
      </c>
    </row>
    <row r="5">
      <c r="A5" s="4" t="inlineStr">
        <is>
          <t>set/2025</t>
        </is>
      </c>
      <c r="B5" s="5" t="n"/>
      <c r="C5" s="5" t="n"/>
      <c r="D5" s="6">
        <f>ROUND(B5*2,2)</f>
        <v/>
      </c>
      <c r="E5" s="7">
        <f>D5+C5</f>
        <v/>
      </c>
      <c r="F5" s="8" t="inlineStr"/>
    </row>
    <row r="6">
      <c r="A6" s="4" t="inlineStr">
        <is>
          <t>out/2025</t>
        </is>
      </c>
      <c r="B6" s="5" t="n"/>
      <c r="C6" s="5" t="n"/>
      <c r="D6" s="6">
        <f>ROUND(B6*2,2)</f>
        <v/>
      </c>
      <c r="E6" s="7">
        <f>D6+C6</f>
        <v/>
      </c>
      <c r="F6" s="8" t="inlineStr"/>
    </row>
    <row r="7">
      <c r="A7" s="4" t="inlineStr">
        <is>
          <t>nov/2025</t>
        </is>
      </c>
      <c r="B7" s="5" t="n"/>
      <c r="C7" s="5" t="n"/>
      <c r="D7" s="6">
        <f>ROUND(B7*2,2)</f>
        <v/>
      </c>
      <c r="E7" s="7">
        <f>D7+C7</f>
        <v/>
      </c>
      <c r="F7" s="8" t="inlineStr"/>
    </row>
    <row r="8">
      <c r="A8" s="4" t="inlineStr">
        <is>
          <t>dez/2025</t>
        </is>
      </c>
      <c r="B8" s="5" t="n"/>
      <c r="C8" s="5" t="n"/>
      <c r="D8" s="6">
        <f>ROUND(B8*2,2)</f>
        <v/>
      </c>
      <c r="E8" s="7">
        <f>D8+C8</f>
        <v/>
      </c>
      <c r="F8" s="8" t="inlineStr"/>
    </row>
    <row r="9">
      <c r="A9" s="4" t="inlineStr">
        <is>
          <t>jan/2026</t>
        </is>
      </c>
      <c r="B9" s="5" t="n"/>
      <c r="C9" s="5" t="n"/>
      <c r="D9" s="6">
        <f>ROUND(B9*2,2)</f>
        <v/>
      </c>
      <c r="E9" s="7">
        <f>D9+C9</f>
        <v/>
      </c>
      <c r="F9" s="8" t="inlineStr"/>
    </row>
    <row r="10">
      <c r="A10" s="4" t="inlineStr">
        <is>
          <t>fev/2026</t>
        </is>
      </c>
      <c r="B10" s="5" t="n"/>
      <c r="C10" s="5" t="n"/>
      <c r="D10" s="6">
        <f>ROUND(B10*2,2)</f>
        <v/>
      </c>
      <c r="E10" s="7">
        <f>D10+C10</f>
        <v/>
      </c>
      <c r="F10" s="8" t="inlineStr"/>
    </row>
    <row r="11">
      <c r="A11" s="4" t="inlineStr">
        <is>
          <t>mar/2026</t>
        </is>
      </c>
      <c r="B11" s="5" t="n"/>
      <c r="C11" s="5" t="n"/>
      <c r="D11" s="6">
        <f>ROUND(B11*2,2)</f>
        <v/>
      </c>
      <c r="E11" s="7">
        <f>D11+C11</f>
        <v/>
      </c>
      <c r="F11" s="8" t="inlineStr"/>
    </row>
    <row r="12">
      <c r="A12" s="4" t="inlineStr">
        <is>
          <t>abr/2026</t>
        </is>
      </c>
      <c r="B12" s="5" t="n"/>
      <c r="C12" s="5" t="n"/>
      <c r="D12" s="6">
        <f>ROUND(B12*2,2)</f>
        <v/>
      </c>
      <c r="E12" s="7">
        <f>D12+C12</f>
        <v/>
      </c>
      <c r="F12" s="8" t="inlineStr"/>
    </row>
    <row r="13">
      <c r="A13" s="4" t="inlineStr">
        <is>
          <t>mai/2026</t>
        </is>
      </c>
      <c r="B13" s="5" t="n"/>
      <c r="C13" s="5" t="n"/>
      <c r="D13" s="6">
        <f>ROUND(B13*2,2)</f>
        <v/>
      </c>
      <c r="E13" s="7">
        <f>D13+C13</f>
        <v/>
      </c>
      <c r="F13" s="8" t="inlineStr"/>
    </row>
    <row r="14">
      <c r="A14" s="4" t="inlineStr">
        <is>
          <t>jun/2026</t>
        </is>
      </c>
      <c r="B14" s="5" t="n"/>
      <c r="C14" s="5" t="n"/>
      <c r="D14" s="6">
        <f>ROUND(B14*2,2)</f>
        <v/>
      </c>
      <c r="E14" s="7">
        <f>D14+C14</f>
        <v/>
      </c>
      <c r="F14" s="8" t="inlineStr"/>
    </row>
    <row r="15">
      <c r="A15" s="4" t="inlineStr">
        <is>
          <t>jul/2026</t>
        </is>
      </c>
      <c r="B15" s="5" t="n">
        <v>908.7</v>
      </c>
      <c r="C15" s="5" t="n"/>
      <c r="D15" s="6">
        <f>ROUND(B15*2,2)</f>
        <v/>
      </c>
      <c r="E15" s="7">
        <f>D15+C15</f>
        <v/>
      </c>
      <c r="F15" s="8" t="inlineStr">
        <is>
          <t>Valor localizado nas planilhas que você já enviou — CONFERIR com o relatório do InovaFarma.</t>
        </is>
      </c>
    </row>
    <row r="16">
      <c r="A16" s="4" t="inlineStr">
        <is>
          <t>ago/2026</t>
        </is>
      </c>
      <c r="B16" s="5" t="n">
        <v>886.3</v>
      </c>
      <c r="C16" s="5" t="n">
        <v>260</v>
      </c>
      <c r="D16" s="6">
        <f>ROUND(B16*2,2)</f>
        <v/>
      </c>
      <c r="E16" s="7">
        <f>D16+C16</f>
        <v/>
      </c>
      <c r="F16" s="8" t="inlineStr">
        <is>
          <t>Valor localizado nas planilhas que você já enviou — CONFERIR com o relatório do InovaFarma.</t>
        </is>
      </c>
    </row>
    <row r="17">
      <c r="A17" s="9" t="inlineStr">
        <is>
          <t>SOMA 12 MESES</t>
        </is>
      </c>
      <c r="B17" s="7">
        <f>SUM(B5:B16)</f>
        <v/>
      </c>
      <c r="C17" s="7">
        <f>SUM(C5:C16)</f>
        <v/>
      </c>
      <c r="D17" s="7">
        <f>SUM(D5:D16)</f>
        <v/>
      </c>
      <c r="E17" s="7">
        <f>SUM(E5:E16)</f>
        <v/>
      </c>
      <c r="F17" s="10" t="n"/>
    </row>
    <row r="18" ht="22" customHeight="1">
      <c r="A18" s="11" t="inlineStr">
        <is>
          <t>MÉDIA MENSAL (÷ 12)</t>
        </is>
      </c>
      <c r="B18" s="12">
        <f>ROUND(B17/12,2)</f>
        <v/>
      </c>
      <c r="C18" s="12">
        <f>ROUND(C17/12,2)</f>
        <v/>
      </c>
      <c r="D18" s="12">
        <f>ROUND(D17/12,2)</f>
        <v/>
      </c>
      <c r="E18" s="12">
        <f>ROUND(E17/12,2)</f>
        <v/>
      </c>
      <c r="F18" s="13" t="inlineStr">
        <is>
          <t>É esta média (coluna TOTAL VARIÁVEL) que entra na base das férias, somada ao salário.</t>
        </is>
      </c>
    </row>
    <row r="20">
      <c r="A20" s="14" t="inlineStr">
        <is>
          <t>COMO PUXAR NO INOVAFARMA (tela Comissão de Vendedores):</t>
        </is>
      </c>
    </row>
    <row r="21">
      <c r="A21" s="15" t="inlineStr">
        <is>
          <t>1. EMPRESA: selecione a loja TRANCOSO.</t>
        </is>
      </c>
    </row>
    <row r="22">
      <c r="A22" s="15" t="inlineStr">
        <is>
          <t>2. TIPO: PRODUTOS VENDIDOS. VISUALIZAÇÃO: pode usar RESUMIDO POR VENDEDOR — para a média só interessam os totais do mês.</t>
        </is>
      </c>
    </row>
    <row r="23">
      <c r="A23" s="15" t="inlineStr">
        <is>
          <t>3. PERÍODO: rode MÊS A MÊS (do dia 1 ao último dia de cada mês), de 01/09/2025 a 31/08/2026.</t>
        </is>
      </c>
    </row>
    <row r="24">
      <c r="A24" s="15" t="inlineStr">
        <is>
          <t>4. VENDEDOR: VALDICK GONÇALVES RODRIGUES (código 162).</t>
        </is>
      </c>
    </row>
    <row r="25">
      <c r="A25" s="15" t="inlineStr">
        <is>
          <t>5. COMISSÃO: TODOS OS PRODUTOS. Clique em VISUALIZA e anote TOTAL COMISSÃO VENDEDOR e TOTAL INCENTIVO VENDEDOR.</t>
        </is>
      </c>
    </row>
    <row r="26">
      <c r="A26" s="15" t="inlineStr">
        <is>
          <t>6. Lance os dois valores nas colunas amarelas deste quadro; a soma e a média saem sozinhas.</t>
        </is>
      </c>
    </row>
    <row r="27">
      <c r="A27" s="15" t="inlineStr">
        <is>
          <t>• TRANCOSO paga o dobro da comissão apurada: a coluna COMISSÃO PAGA já multiplica por 2. É esse valor que vale para a média, porque é o que foi efetivamente pago.</t>
        </is>
      </c>
    </row>
    <row r="28">
      <c r="A28" s="15" t="inlineStr"/>
    </row>
    <row r="29">
      <c r="A29" s="14" t="inlineStr">
        <is>
          <t>OBSERVAÇÕES:</t>
        </is>
      </c>
    </row>
    <row r="30">
      <c r="A30" s="15" t="inlineStr">
        <is>
          <t>• Se o sistema deixar rodar o período inteiro de uma vez, ainda assim é preciso o valor mês a mês: a média de férias é a soma dos 12 meses dividida por 12.</t>
        </is>
      </c>
    </row>
    <row r="31">
      <c r="A31" s="15" t="inlineStr">
        <is>
          <t>• O aviso da tela lembra que vendas da Farmácia Popular não geram comissão — elas já ficam de fora do relatório.</t>
        </is>
      </c>
    </row>
    <row r="32">
      <c r="A32" s="15" t="inlineStr">
        <is>
          <t>• Meses em que a pessoa esteve de férias ou afastada entram com o valor que houve; se não houve nada, deixe zero.</t>
        </is>
      </c>
    </row>
  </sheetData>
  <autoFilter ref="A4:F16"/>
  <mergeCells count="15">
    <mergeCell ref="A24:F24"/>
    <mergeCell ref="A2:F2"/>
    <mergeCell ref="A30:F30"/>
    <mergeCell ref="A28:F28"/>
    <mergeCell ref="A1:F1"/>
    <mergeCell ref="A23:F23"/>
    <mergeCell ref="A32:F32"/>
    <mergeCell ref="A27:F27"/>
    <mergeCell ref="A31:F31"/>
    <mergeCell ref="A26:F26"/>
    <mergeCell ref="A22:F22"/>
    <mergeCell ref="A20:F20"/>
    <mergeCell ref="A21:F21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60" customWidth="1" min="6" max="6"/>
  </cols>
  <sheetData>
    <row r="1" ht="26" customHeight="1">
      <c r="A1" s="1" t="inlineStr">
        <is>
          <t>MÉDIA DE COMISSÕES DOS ÚLTIMOS 12 MESES — RENALDO RODRIGUES</t>
        </is>
      </c>
    </row>
    <row r="2">
      <c r="A2" s="2" t="inlineStr">
        <is>
          <t>Loja CENTRO (MATRIZ) · código 151 · período 01/09/2025 a 31/08/2026 · base para férias de 01 a 30/09/2026</t>
        </is>
      </c>
    </row>
    <row r="4" ht="28" customHeight="1">
      <c r="A4" s="3" t="inlineStr">
        <is>
          <t>MÊS</t>
        </is>
      </c>
      <c r="B4" s="3" t="inlineStr">
        <is>
          <t>COMISSÃO APURADA</t>
        </is>
      </c>
      <c r="C4" s="3" t="inlineStr">
        <is>
          <t>INCENTIVOS</t>
        </is>
      </c>
      <c r="D4" s="3" t="inlineStr">
        <is>
          <t>COMISSÃO PAGA</t>
        </is>
      </c>
      <c r="E4" s="3" t="inlineStr">
        <is>
          <t>TOTAL VARIÁVEL</t>
        </is>
      </c>
      <c r="F4" s="3" t="inlineStr">
        <is>
          <t>OBSERVAÇÃO</t>
        </is>
      </c>
    </row>
    <row r="5">
      <c r="A5" s="4" t="inlineStr">
        <is>
          <t>set/2025</t>
        </is>
      </c>
      <c r="B5" s="5" t="n"/>
      <c r="C5" s="5" t="n"/>
      <c r="D5" s="6">
        <f>ROUND(B5*1,2)</f>
        <v/>
      </c>
      <c r="E5" s="7">
        <f>D5+C5</f>
        <v/>
      </c>
      <c r="F5" s="8" t="inlineStr"/>
    </row>
    <row r="6">
      <c r="A6" s="4" t="inlineStr">
        <is>
          <t>out/2025</t>
        </is>
      </c>
      <c r="B6" s="5" t="n"/>
      <c r="C6" s="5" t="n"/>
      <c r="D6" s="6">
        <f>ROUND(B6*1,2)</f>
        <v/>
      </c>
      <c r="E6" s="7">
        <f>D6+C6</f>
        <v/>
      </c>
      <c r="F6" s="8" t="inlineStr"/>
    </row>
    <row r="7">
      <c r="A7" s="4" t="inlineStr">
        <is>
          <t>nov/2025</t>
        </is>
      </c>
      <c r="B7" s="5" t="n"/>
      <c r="C7" s="5" t="n"/>
      <c r="D7" s="6">
        <f>ROUND(B7*1,2)</f>
        <v/>
      </c>
      <c r="E7" s="7">
        <f>D7+C7</f>
        <v/>
      </c>
      <c r="F7" s="8" t="inlineStr"/>
    </row>
    <row r="8">
      <c r="A8" s="4" t="inlineStr">
        <is>
          <t>dez/2025</t>
        </is>
      </c>
      <c r="B8" s="5" t="n"/>
      <c r="C8" s="5" t="n"/>
      <c r="D8" s="6">
        <f>ROUND(B8*1,2)</f>
        <v/>
      </c>
      <c r="E8" s="7">
        <f>D8+C8</f>
        <v/>
      </c>
      <c r="F8" s="8" t="inlineStr"/>
    </row>
    <row r="9">
      <c r="A9" s="4" t="inlineStr">
        <is>
          <t>jan/2026</t>
        </is>
      </c>
      <c r="B9" s="5" t="n"/>
      <c r="C9" s="5" t="n"/>
      <c r="D9" s="6">
        <f>ROUND(B9*1,2)</f>
        <v/>
      </c>
      <c r="E9" s="7">
        <f>D9+C9</f>
        <v/>
      </c>
      <c r="F9" s="8" t="inlineStr"/>
    </row>
    <row r="10">
      <c r="A10" s="4" t="inlineStr">
        <is>
          <t>fev/2026</t>
        </is>
      </c>
      <c r="B10" s="5" t="n">
        <v>855</v>
      </c>
      <c r="C10" s="5" t="n">
        <v>395</v>
      </c>
      <c r="D10" s="6">
        <f>ROUND(B10*1,2)</f>
        <v/>
      </c>
      <c r="E10" s="7">
        <f>D10+C10</f>
        <v/>
      </c>
      <c r="F10" s="8" t="inlineStr">
        <is>
          <t>Valor localizado nas planilhas que você já enviou — CONFERIR com o relatório do InovaFarma.</t>
        </is>
      </c>
    </row>
    <row r="11">
      <c r="A11" s="4" t="inlineStr">
        <is>
          <t>mar/2026</t>
        </is>
      </c>
      <c r="B11" s="5" t="n">
        <v>942</v>
      </c>
      <c r="C11" s="5" t="n">
        <v>253</v>
      </c>
      <c r="D11" s="6">
        <f>ROUND(B11*1,2)</f>
        <v/>
      </c>
      <c r="E11" s="7">
        <f>D11+C11</f>
        <v/>
      </c>
      <c r="F11" s="8" t="inlineStr">
        <is>
          <t>Valor localizado nas planilhas que você já enviou — CONFERIR com o relatório do InovaFarma.</t>
        </is>
      </c>
    </row>
    <row r="12">
      <c r="A12" s="4" t="inlineStr">
        <is>
          <t>abr/2026</t>
        </is>
      </c>
      <c r="B12" s="5" t="n">
        <v>960</v>
      </c>
      <c r="C12" s="5" t="n">
        <v>426</v>
      </c>
      <c r="D12" s="6">
        <f>ROUND(B12*1,2)</f>
        <v/>
      </c>
      <c r="E12" s="7">
        <f>D12+C12</f>
        <v/>
      </c>
      <c r="F12" s="8" t="inlineStr">
        <is>
          <t>Valor localizado nas planilhas que você já enviou — CONFERIR com o relatório do InovaFarma.</t>
        </is>
      </c>
    </row>
    <row r="13">
      <c r="A13" s="4" t="inlineStr">
        <is>
          <t>mai/2026</t>
        </is>
      </c>
      <c r="B13" s="5" t="n"/>
      <c r="C13" s="5" t="n"/>
      <c r="D13" s="6">
        <f>ROUND(B13*1,2)</f>
        <v/>
      </c>
      <c r="E13" s="7">
        <f>D13+C13</f>
        <v/>
      </c>
      <c r="F13" s="8" t="inlineStr"/>
    </row>
    <row r="14">
      <c r="A14" s="4" t="inlineStr">
        <is>
          <t>jun/2026</t>
        </is>
      </c>
      <c r="B14" s="5" t="n"/>
      <c r="C14" s="5" t="n"/>
      <c r="D14" s="6">
        <f>ROUND(B14*1,2)</f>
        <v/>
      </c>
      <c r="E14" s="7">
        <f>D14+C14</f>
        <v/>
      </c>
      <c r="F14" s="8" t="inlineStr"/>
    </row>
    <row r="15">
      <c r="A15" s="4" t="inlineStr">
        <is>
          <t>jul/2026</t>
        </is>
      </c>
      <c r="B15" s="5" t="n">
        <v>1200</v>
      </c>
      <c r="C15" s="5" t="n"/>
      <c r="D15" s="6">
        <f>ROUND(B15*1,2)</f>
        <v/>
      </c>
      <c r="E15" s="7">
        <f>D15+C15</f>
        <v/>
      </c>
      <c r="F15" s="8" t="inlineStr">
        <is>
          <t>Valor localizado nas planilhas que você já enviou — CONFERIR com o relatório do InovaFarma.</t>
        </is>
      </c>
    </row>
    <row r="16">
      <c r="A16" s="4" t="inlineStr">
        <is>
          <t>ago/2026</t>
        </is>
      </c>
      <c r="B16" s="5" t="n">
        <v>847.9400000000001</v>
      </c>
      <c r="C16" s="5" t="n">
        <v>96</v>
      </c>
      <c r="D16" s="6">
        <f>ROUND(B16*1,2)</f>
        <v/>
      </c>
      <c r="E16" s="7">
        <f>D16+C16</f>
        <v/>
      </c>
      <c r="F16" s="8" t="inlineStr">
        <is>
          <t>Valor localizado nas planilhas que você já enviou — CONFERIR com o relatório do InovaFarma.</t>
        </is>
      </c>
    </row>
    <row r="17">
      <c r="A17" s="9" t="inlineStr">
        <is>
          <t>SOMA 12 MESES</t>
        </is>
      </c>
      <c r="B17" s="7">
        <f>SUM(B5:B16)</f>
        <v/>
      </c>
      <c r="C17" s="7">
        <f>SUM(C5:C16)</f>
        <v/>
      </c>
      <c r="D17" s="7">
        <f>SUM(D5:D16)</f>
        <v/>
      </c>
      <c r="E17" s="7">
        <f>SUM(E5:E16)</f>
        <v/>
      </c>
      <c r="F17" s="10" t="n"/>
    </row>
    <row r="18" ht="22" customHeight="1">
      <c r="A18" s="11" t="inlineStr">
        <is>
          <t>MÉDIA MENSAL (÷ 12)</t>
        </is>
      </c>
      <c r="B18" s="12">
        <f>ROUND(B17/12,2)</f>
        <v/>
      </c>
      <c r="C18" s="12">
        <f>ROUND(C17/12,2)</f>
        <v/>
      </c>
      <c r="D18" s="12">
        <f>ROUND(D17/12,2)</f>
        <v/>
      </c>
      <c r="E18" s="12">
        <f>ROUND(E17/12,2)</f>
        <v/>
      </c>
      <c r="F18" s="13" t="inlineStr">
        <is>
          <t>É esta média (coluna TOTAL VARIÁVEL) que entra na base das férias, somada ao salário.</t>
        </is>
      </c>
    </row>
    <row r="20">
      <c r="A20" s="14" t="inlineStr">
        <is>
          <t>COMO PUXAR NO INOVAFARMA (tela Comissão de Vendedores):</t>
        </is>
      </c>
    </row>
    <row r="21">
      <c r="A21" s="15" t="inlineStr">
        <is>
          <t>1. EMPRESA: selecione a loja CENTRO (MATRIZ).</t>
        </is>
      </c>
    </row>
    <row r="22">
      <c r="A22" s="15" t="inlineStr">
        <is>
          <t>2. TIPO: PRODUTOS VENDIDOS. VISUALIZAÇÃO: pode usar RESUMIDO POR VENDEDOR — para a média só interessam os totais do mês.</t>
        </is>
      </c>
    </row>
    <row r="23">
      <c r="A23" s="15" t="inlineStr">
        <is>
          <t>3. PERÍODO: rode MÊS A MÊS (do dia 1 ao último dia de cada mês), de 01/09/2025 a 31/08/2026.</t>
        </is>
      </c>
    </row>
    <row r="24">
      <c r="A24" s="15" t="inlineStr">
        <is>
          <t>4. VENDEDOR: RENALDO RODRIGUES (código 151).</t>
        </is>
      </c>
    </row>
    <row r="25">
      <c r="A25" s="15" t="inlineStr">
        <is>
          <t>5. COMISSÃO: TODOS OS PRODUTOS. Clique em VISUALIZA e anote TOTAL COMISSÃO VENDEDOR e TOTAL INCENTIVO VENDEDOR.</t>
        </is>
      </c>
    </row>
    <row r="26">
      <c r="A26" s="15" t="inlineStr">
        <is>
          <t>6. Lance os dois valores nas colunas amarelas deste quadro; a soma e a média saem sozinhas.</t>
        </is>
      </c>
    </row>
    <row r="27">
      <c r="A27" s="15" t="inlineStr"/>
    </row>
    <row r="28">
      <c r="A28" s="14" t="inlineStr">
        <is>
          <t>OBSERVAÇÕES:</t>
        </is>
      </c>
    </row>
    <row r="29">
      <c r="A29" s="15" t="inlineStr">
        <is>
          <t>• Se o sistema deixar rodar o período inteiro de uma vez, ainda assim é preciso o valor mês a mês: a média de férias é a soma dos 12 meses dividida por 12.</t>
        </is>
      </c>
    </row>
    <row r="30">
      <c r="A30" s="15" t="inlineStr">
        <is>
          <t>• O aviso da tela lembra que vendas da Farmácia Popular não geram comissão — elas já ficam de fora do relatório.</t>
        </is>
      </c>
    </row>
    <row r="31">
      <c r="A31" s="15" t="inlineStr">
        <is>
          <t>• Meses em que a pessoa esteve de férias ou afastada entram com o valor que houve; se não houve nada, deixe zero.</t>
        </is>
      </c>
    </row>
  </sheetData>
  <autoFilter ref="A4:F16"/>
  <mergeCells count="14">
    <mergeCell ref="A24:F24"/>
    <mergeCell ref="A2:F2"/>
    <mergeCell ref="A30:F30"/>
    <mergeCell ref="A28:F28"/>
    <mergeCell ref="A1:F1"/>
    <mergeCell ref="A23:F23"/>
    <mergeCell ref="A27:F27"/>
    <mergeCell ref="A31:F31"/>
    <mergeCell ref="A26:F26"/>
    <mergeCell ref="A22:F22"/>
    <mergeCell ref="A20:F20"/>
    <mergeCell ref="A21:F21"/>
    <mergeCell ref="A29:F29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60" customWidth="1" min="6" max="6"/>
  </cols>
  <sheetData>
    <row r="1" ht="26" customHeight="1">
      <c r="A1" s="1" t="inlineStr">
        <is>
          <t>MÉDIA DE COMISSÕES DOS ÚLTIMOS 12 MESES — MANOEL SILVA</t>
        </is>
      </c>
    </row>
    <row r="2">
      <c r="A2" s="2" t="inlineStr">
        <is>
          <t>Loja TRANCOSO · código 92 · período 01/05/2025 a 30/04/2026 · base para férias gozadas em maio/2026</t>
        </is>
      </c>
    </row>
    <row r="4" ht="28" customHeight="1">
      <c r="A4" s="3" t="inlineStr">
        <is>
          <t>MÊS</t>
        </is>
      </c>
      <c r="B4" s="3" t="inlineStr">
        <is>
          <t>COMISSÃO APURADA</t>
        </is>
      </c>
      <c r="C4" s="3" t="inlineStr">
        <is>
          <t>INCENTIVOS</t>
        </is>
      </c>
      <c r="D4" s="3" t="inlineStr">
        <is>
          <t>COMISSÃO PAGA</t>
        </is>
      </c>
      <c r="E4" s="3" t="inlineStr">
        <is>
          <t>TOTAL VARIÁVEL</t>
        </is>
      </c>
      <c r="F4" s="3" t="inlineStr">
        <is>
          <t>OBSERVAÇÃO</t>
        </is>
      </c>
    </row>
    <row r="5">
      <c r="A5" s="4" t="inlineStr">
        <is>
          <t>mai/2025</t>
        </is>
      </c>
      <c r="B5" s="5" t="n"/>
      <c r="C5" s="5" t="n"/>
      <c r="D5" s="6">
        <f>ROUND(B5*2,2)</f>
        <v/>
      </c>
      <c r="E5" s="7">
        <f>D5+C5</f>
        <v/>
      </c>
      <c r="F5" s="8" t="inlineStr"/>
    </row>
    <row r="6">
      <c r="A6" s="4" t="inlineStr">
        <is>
          <t>jun/2025</t>
        </is>
      </c>
      <c r="B6" s="5" t="n"/>
      <c r="C6" s="5" t="n"/>
      <c r="D6" s="6">
        <f>ROUND(B6*2,2)</f>
        <v/>
      </c>
      <c r="E6" s="7">
        <f>D6+C6</f>
        <v/>
      </c>
      <c r="F6" s="8" t="inlineStr"/>
    </row>
    <row r="7">
      <c r="A7" s="4" t="inlineStr">
        <is>
          <t>jul/2025</t>
        </is>
      </c>
      <c r="B7" s="5" t="n"/>
      <c r="C7" s="5" t="n"/>
      <c r="D7" s="6">
        <f>ROUND(B7*2,2)</f>
        <v/>
      </c>
      <c r="E7" s="7">
        <f>D7+C7</f>
        <v/>
      </c>
      <c r="F7" s="8" t="inlineStr"/>
    </row>
    <row r="8">
      <c r="A8" s="4" t="inlineStr">
        <is>
          <t>ago/2025</t>
        </is>
      </c>
      <c r="B8" s="5" t="n"/>
      <c r="C8" s="5" t="n"/>
      <c r="D8" s="6">
        <f>ROUND(B8*2,2)</f>
        <v/>
      </c>
      <c r="E8" s="7">
        <f>D8+C8</f>
        <v/>
      </c>
      <c r="F8" s="8" t="inlineStr"/>
    </row>
    <row r="9">
      <c r="A9" s="4" t="inlineStr">
        <is>
          <t>set/2025</t>
        </is>
      </c>
      <c r="B9" s="5" t="n"/>
      <c r="C9" s="5" t="n"/>
      <c r="D9" s="6">
        <f>ROUND(B9*2,2)</f>
        <v/>
      </c>
      <c r="E9" s="7">
        <f>D9+C9</f>
        <v/>
      </c>
      <c r="F9" s="8" t="inlineStr"/>
    </row>
    <row r="10">
      <c r="A10" s="4" t="inlineStr">
        <is>
          <t>out/2025</t>
        </is>
      </c>
      <c r="B10" s="5" t="n"/>
      <c r="C10" s="5" t="n"/>
      <c r="D10" s="6">
        <f>ROUND(B10*2,2)</f>
        <v/>
      </c>
      <c r="E10" s="7">
        <f>D10+C10</f>
        <v/>
      </c>
      <c r="F10" s="8" t="inlineStr"/>
    </row>
    <row r="11">
      <c r="A11" s="4" t="inlineStr">
        <is>
          <t>nov/2025</t>
        </is>
      </c>
      <c r="B11" s="5" t="n"/>
      <c r="C11" s="5" t="n"/>
      <c r="D11" s="6">
        <f>ROUND(B11*2,2)</f>
        <v/>
      </c>
      <c r="E11" s="7">
        <f>D11+C11</f>
        <v/>
      </c>
      <c r="F11" s="8" t="inlineStr"/>
    </row>
    <row r="12">
      <c r="A12" s="4" t="inlineStr">
        <is>
          <t>dez/2025</t>
        </is>
      </c>
      <c r="B12" s="5" t="n"/>
      <c r="C12" s="5" t="n"/>
      <c r="D12" s="6">
        <f>ROUND(B12*2,2)</f>
        <v/>
      </c>
      <c r="E12" s="7">
        <f>D12+C12</f>
        <v/>
      </c>
      <c r="F12" s="8" t="inlineStr"/>
    </row>
    <row r="13">
      <c r="A13" s="4" t="inlineStr">
        <is>
          <t>jan/2026</t>
        </is>
      </c>
      <c r="B13" s="5" t="n"/>
      <c r="C13" s="5" t="n"/>
      <c r="D13" s="6">
        <f>ROUND(B13*2,2)</f>
        <v/>
      </c>
      <c r="E13" s="7">
        <f>D13+C13</f>
        <v/>
      </c>
      <c r="F13" s="8" t="inlineStr"/>
    </row>
    <row r="14">
      <c r="A14" s="4" t="inlineStr">
        <is>
          <t>fev/2026</t>
        </is>
      </c>
      <c r="B14" s="5" t="n">
        <v>845</v>
      </c>
      <c r="C14" s="5" t="n">
        <v>202</v>
      </c>
      <c r="D14" s="6">
        <f>ROUND(B14*2,2)</f>
        <v/>
      </c>
      <c r="E14" s="7">
        <f>D14+C14</f>
        <v/>
      </c>
      <c r="F14" s="8" t="inlineStr">
        <is>
          <t>Valor localizado nas planilhas que você já enviou — CONFERIR com o relatório do InovaFarma.</t>
        </is>
      </c>
    </row>
    <row r="15">
      <c r="A15" s="4" t="inlineStr">
        <is>
          <t>mar/2026</t>
        </is>
      </c>
      <c r="B15" s="5" t="n">
        <v>1350</v>
      </c>
      <c r="C15" s="5" t="n">
        <v>240</v>
      </c>
      <c r="D15" s="6">
        <f>ROUND(B15*2,2)</f>
        <v/>
      </c>
      <c r="E15" s="7">
        <f>D15+C15</f>
        <v/>
      </c>
      <c r="F15" s="8" t="inlineStr">
        <is>
          <t>Valor localizado nas planilhas que você já enviou — CONFERIR com o relatório do InovaFarma.</t>
        </is>
      </c>
    </row>
    <row r="16">
      <c r="A16" s="4" t="inlineStr">
        <is>
          <t>abr/2026</t>
        </is>
      </c>
      <c r="B16" s="5" t="n">
        <v>150</v>
      </c>
      <c r="C16" s="5" t="n">
        <v>263</v>
      </c>
      <c r="D16" s="6">
        <f>ROUND(B16*2,2)</f>
        <v/>
      </c>
      <c r="E16" s="7">
        <f>D16+C16</f>
        <v/>
      </c>
      <c r="F16" s="8" t="inlineStr">
        <is>
          <t>Valor localizado nas planilhas que você já enviou — CONFERIR com o relatório do InovaFarma.</t>
        </is>
      </c>
    </row>
    <row r="17">
      <c r="A17" s="9" t="inlineStr">
        <is>
          <t>SOMA 12 MESES</t>
        </is>
      </c>
      <c r="B17" s="7">
        <f>SUM(B5:B16)</f>
        <v/>
      </c>
      <c r="C17" s="7">
        <f>SUM(C5:C16)</f>
        <v/>
      </c>
      <c r="D17" s="7">
        <f>SUM(D5:D16)</f>
        <v/>
      </c>
      <c r="E17" s="7">
        <f>SUM(E5:E16)</f>
        <v/>
      </c>
      <c r="F17" s="10" t="n"/>
    </row>
    <row r="18" ht="22" customHeight="1">
      <c r="A18" s="11" t="inlineStr">
        <is>
          <t>MÉDIA MENSAL (÷ 12)</t>
        </is>
      </c>
      <c r="B18" s="12">
        <f>ROUND(B17/12,2)</f>
        <v/>
      </c>
      <c r="C18" s="12">
        <f>ROUND(C17/12,2)</f>
        <v/>
      </c>
      <c r="D18" s="12">
        <f>ROUND(D17/12,2)</f>
        <v/>
      </c>
      <c r="E18" s="12">
        <f>ROUND(E17/12,2)</f>
        <v/>
      </c>
      <c r="F18" s="13" t="inlineStr">
        <is>
          <t>É esta média (coluna TOTAL VARIÁVEL) que entra na base das férias, somada ao salário.</t>
        </is>
      </c>
    </row>
    <row r="20">
      <c r="A20" s="14" t="inlineStr">
        <is>
          <t>COMO PUXAR NO INOVAFARMA (tela Comissão de Vendedores):</t>
        </is>
      </c>
    </row>
    <row r="21">
      <c r="A21" s="15" t="inlineStr">
        <is>
          <t>1. EMPRESA: selecione a loja TRANCOSO.</t>
        </is>
      </c>
    </row>
    <row r="22">
      <c r="A22" s="15" t="inlineStr">
        <is>
          <t>2. TIPO: PRODUTOS VENDIDOS. VISUALIZAÇÃO: pode usar RESUMIDO POR VENDEDOR — para a média só interessam os totais do mês.</t>
        </is>
      </c>
    </row>
    <row r="23">
      <c r="A23" s="15" t="inlineStr">
        <is>
          <t>3. PERÍODO: rode MÊS A MÊS (do dia 1 ao último dia de cada mês), de 01/05/2025 a 30/04/2026.</t>
        </is>
      </c>
    </row>
    <row r="24">
      <c r="A24" s="15" t="inlineStr">
        <is>
          <t>4. VENDEDOR: MANOEL SILVA (código 92).</t>
        </is>
      </c>
    </row>
    <row r="25">
      <c r="A25" s="15" t="inlineStr">
        <is>
          <t>5. COMISSÃO: TODOS OS PRODUTOS. Clique em VISUALIZA e anote TOTAL COMISSÃO VENDEDOR e TOTAL INCENTIVO VENDEDOR.</t>
        </is>
      </c>
    </row>
    <row r="26">
      <c r="A26" s="15" t="inlineStr">
        <is>
          <t>6. Lance os dois valores nas colunas amarelas deste quadro; a soma e a média saem sozinhas.</t>
        </is>
      </c>
    </row>
    <row r="27">
      <c r="A27" s="15" t="inlineStr">
        <is>
          <t>• TRANCOSO paga o dobro da comissão apurada: a coluna COMISSÃO PAGA já multiplica por 2. É esse valor que vale para a média, porque é o que foi efetivamente pago.</t>
        </is>
      </c>
    </row>
    <row r="28">
      <c r="A28" s="15" t="inlineStr"/>
    </row>
    <row r="29">
      <c r="A29" s="14" t="inlineStr">
        <is>
          <t>OBSERVAÇÕES:</t>
        </is>
      </c>
    </row>
    <row r="30">
      <c r="A30" s="15" t="inlineStr">
        <is>
          <t>• Se o sistema deixar rodar o período inteiro de uma vez, ainda assim é preciso o valor mês a mês: a média de férias é a soma dos 12 meses dividida por 12.</t>
        </is>
      </c>
    </row>
    <row r="31">
      <c r="A31" s="15" t="inlineStr">
        <is>
          <t>• O aviso da tela lembra que vendas da Farmácia Popular não geram comissão — elas já ficam de fora do relatório.</t>
        </is>
      </c>
    </row>
    <row r="32">
      <c r="A32" s="15" t="inlineStr">
        <is>
          <t>• Meses em que a pessoa esteve de férias ou afastada entram com o valor que houve; se não houve nada, deixe zero.</t>
        </is>
      </c>
    </row>
  </sheetData>
  <autoFilter ref="A4:F16"/>
  <mergeCells count="15">
    <mergeCell ref="A24:F24"/>
    <mergeCell ref="A2:F2"/>
    <mergeCell ref="A30:F30"/>
    <mergeCell ref="A28:F28"/>
    <mergeCell ref="A1:F1"/>
    <mergeCell ref="A23:F23"/>
    <mergeCell ref="A32:F32"/>
    <mergeCell ref="A27:F27"/>
    <mergeCell ref="A31:F31"/>
    <mergeCell ref="A26:F26"/>
    <mergeCell ref="A22:F22"/>
    <mergeCell ref="A20:F20"/>
    <mergeCell ref="A21:F21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2026-09-03T16:32:24Z</dcterms:created>
  <dcterms:modified xsi:type="dcterms:W3CDTF">2026-09-03T16:32:24Z</dcterms:modified>
</cp:coreProperties>
</file>