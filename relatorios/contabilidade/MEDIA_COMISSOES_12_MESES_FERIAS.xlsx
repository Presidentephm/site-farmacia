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TIVO" sheetId="1" state="visible" r:id="rId1"/>
    <sheet name="VALDICK" sheetId="2" state="visible" r:id="rId2"/>
    <sheet name="RENALDO" sheetId="3" state="visible" r:id="rId3"/>
    <sheet name="MANO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;-R$ #,##0.00;&quot;-&quot;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color rgb="00000000"/>
      <sz val="10"/>
    </font>
    <font>
      <name val="Arial"/>
      <i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11"/>
    </font>
    <font>
      <name val="Arial"/>
      <color rgb="000000FF"/>
      <sz val="10"/>
    </font>
    <font>
      <name val="Arial"/>
      <b val="1"/>
      <color rgb="00C00000"/>
      <sz val="9"/>
    </font>
    <font>
      <name val="Arial"/>
      <color rgb="00000000"/>
      <sz val="9"/>
    </font>
    <font>
      <name val="Arial"/>
      <b val="1"/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0F0"/>
      </patternFill>
    </fill>
    <fill>
      <patternFill patternType="solid">
        <fgColor rgb="00C6E0B4"/>
      </patternFill>
    </fill>
    <fill>
      <patternFill patternType="solid">
        <fgColor rgb="00FFF2CC"/>
      </patternFill>
    </fill>
    <fill>
      <patternFill patternType="solid">
        <fgColor rgb="002E549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11" fillId="8" borderId="1" applyAlignment="1" pivotButton="0" quotePrefix="0" xfId="0">
      <alignment horizontal="center" wrapText="1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0" fillId="0" borderId="1" pivotButton="0" quotePrefix="0" xfId="0"/>
    <xf numFmtId="164" fontId="6" fillId="4" borderId="1" pivotButton="0" quotePrefix="0" xfId="0"/>
    <xf numFmtId="164" fontId="6" fillId="6" borderId="1" pivotButton="0" quotePrefix="0" xfId="0"/>
    <xf numFmtId="0" fontId="5" fillId="0" borderId="0" applyAlignment="1" pivotButton="0" quotePrefix="0" xfId="0">
      <alignment vertical="center" wrapText="1"/>
    </xf>
    <xf numFmtId="0" fontId="3" fillId="3" borderId="0" pivotButton="0" quotePrefix="0" xfId="0"/>
    <xf numFmtId="0" fontId="0" fillId="3" borderId="0" pivotButton="0" quotePrefix="0" xfId="0"/>
    <xf numFmtId="3" fontId="4" fillId="0" borderId="1" pivotButton="0" quotePrefix="0" xfId="0"/>
    <xf numFmtId="0" fontId="5" fillId="0" borderId="1" applyAlignment="1" pivotButton="0" quotePrefix="0" xfId="0">
      <alignment vertical="center" wrapText="1"/>
    </xf>
    <xf numFmtId="164" fontId="4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0" fontId="6" fillId="4" borderId="1" pivotButton="0" quotePrefix="0" xfId="0"/>
    <xf numFmtId="164" fontId="7" fillId="4" borderId="1" pivotButton="0" quotePrefix="0" xfId="0"/>
    <xf numFmtId="164" fontId="7" fillId="0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6" fillId="6" borderId="1" pivotButton="0" quotePrefix="0" xfId="0"/>
    <xf numFmtId="164" fontId="7" fillId="6" borderId="1" pivotButton="0" quotePrefix="0" xfId="0"/>
    <xf numFmtId="0" fontId="4" fillId="7" borderId="1" pivotButton="0" quotePrefix="0" xfId="0"/>
    <xf numFmtId="164" fontId="8" fillId="7" borderId="1" pivotButton="0" quotePrefix="0" xfId="0"/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24" customWidth="1" min="3" max="3"/>
    <col width="16" customWidth="1" min="4" max="4"/>
    <col width="16" customWidth="1" min="5" max="5"/>
    <col width="18" customWidth="1" min="6" max="6"/>
    <col width="18" customWidth="1" min="7" max="7"/>
  </cols>
  <sheetData>
    <row r="1" ht="26" customHeight="1">
      <c r="A1" s="1" t="inlineStr">
        <is>
          <t>MÉDIA DOS 12 MESES — RESUMO DOS TRÊS CASOS</t>
        </is>
      </c>
    </row>
    <row r="2">
      <c r="A2" s="2" t="inlineStr">
        <is>
          <t>Base de cálculo das férias · fonte InovaFarma, extraído em 03/09/2026</t>
        </is>
      </c>
    </row>
    <row r="4" ht="28" customHeight="1">
      <c r="A4" s="3" t="inlineStr">
        <is>
          <t>FUNCIONÁRIO</t>
        </is>
      </c>
      <c r="B4" s="3" t="inlineStr">
        <is>
          <t>CÓD.</t>
        </is>
      </c>
      <c r="C4" s="3" t="inlineStr">
        <is>
          <t>PERÍODO</t>
        </is>
      </c>
      <c r="D4" s="3" t="inlineStr">
        <is>
          <t>COMISSÃO 12M</t>
        </is>
      </c>
      <c r="E4" s="3" t="inlineStr">
        <is>
          <t>INCENTIVOS 12M</t>
        </is>
      </c>
      <c r="F4" s="3" t="inlineStr">
        <is>
          <t>MÉDIA MENSAL</t>
        </is>
      </c>
      <c r="G4" s="3" t="inlineStr">
        <is>
          <t>BASE DE FÉRIAS</t>
        </is>
      </c>
    </row>
    <row r="5">
      <c r="A5" s="4" t="inlineStr">
        <is>
          <t>VALDIC GONÇALVES RODRIGUES</t>
        </is>
      </c>
      <c r="B5" s="5" t="inlineStr">
        <is>
          <t>162</t>
        </is>
      </c>
      <c r="C5" s="6" t="inlineStr">
        <is>
          <t>01/09/2025 a 31/08/2026</t>
        </is>
      </c>
      <c r="D5" s="7" t="n">
        <v>10200.3462</v>
      </c>
      <c r="E5" s="7" t="n">
        <v>2702</v>
      </c>
      <c r="F5" s="8">
        <f>ROUND((D5+E5)/12,2)</f>
        <v/>
      </c>
      <c r="G5" s="9">
        <f>ROUND(F5+1621.0,2)</f>
        <v/>
      </c>
    </row>
    <row r="6">
      <c r="A6" s="4" t="inlineStr">
        <is>
          <t>RENALDO RODRIGUES</t>
        </is>
      </c>
      <c r="B6" s="5" t="inlineStr">
        <is>
          <t>151</t>
        </is>
      </c>
      <c r="C6" s="6" t="inlineStr">
        <is>
          <t>01/09/2025 a 31/08/2026</t>
        </is>
      </c>
      <c r="D6" s="7" t="n">
        <v>9714.168799999999</v>
      </c>
      <c r="E6" s="7" t="n">
        <v>1676</v>
      </c>
      <c r="F6" s="8">
        <f>ROUND((D6+E6)/12,2)</f>
        <v/>
      </c>
      <c r="G6" s="9">
        <f>ROUND(F6+1621.0,2)</f>
        <v/>
      </c>
    </row>
    <row r="7">
      <c r="A7" s="4" t="inlineStr">
        <is>
          <t>MANOEL SILVA</t>
        </is>
      </c>
      <c r="B7" s="5" t="inlineStr">
        <is>
          <t>92</t>
        </is>
      </c>
      <c r="C7" s="6" t="inlineStr">
        <is>
          <t>01/05/2025 a 30/04/2026</t>
        </is>
      </c>
      <c r="D7" s="7" t="n">
        <v>7253.0803</v>
      </c>
      <c r="E7" s="7" t="n">
        <v>421</v>
      </c>
      <c r="F7" s="8">
        <f>ROUND((D7+E7)/12,2)</f>
        <v/>
      </c>
      <c r="G7" s="9">
        <f>ROUND(F7+1621.0,2)</f>
        <v/>
      </c>
    </row>
    <row r="9">
      <c r="A9" s="10" t="inlineStr">
        <is>
          <t>BASE DE FÉRIAS = salário base + média mensal da parte variável (comissão + incentivos).</t>
        </is>
      </c>
    </row>
    <row r="10">
      <c r="A10" s="10" t="inlineStr">
        <is>
          <t>Cada aba traz o detalhe do funcionário, com o 1/3 constitucional e o total bruto das férias.</t>
        </is>
      </c>
    </row>
    <row r="11">
      <c r="A11" s="10" t="inlineStr">
        <is>
          <t>TRANCOSO (VALDICK e MANOEL): conferir o efeito do pagamento em dobro antes de fechar — ver o aviso na aba de cada um.</t>
        </is>
      </c>
    </row>
  </sheetData>
  <mergeCells count="5">
    <mergeCell ref="A1:G1"/>
    <mergeCell ref="A9:G9"/>
    <mergeCell ref="A2:G2"/>
    <mergeCell ref="A11:G11"/>
    <mergeCell ref="A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66" customWidth="1" min="3" max="3"/>
  </cols>
  <sheetData>
    <row r="1" ht="26" customHeight="1">
      <c r="A1" s="1" t="inlineStr">
        <is>
          <t>MÉDIA DOS ÚLTIMOS 12 MESES — VALDIC GONÇALVES RODRIGUES</t>
        </is>
      </c>
    </row>
    <row r="2">
      <c r="A2" s="2" t="inlineStr">
        <is>
          <t>Loja TRANCOSO · código 162 · período 01/09/2025 a 31/08/2026 · base para férias de 01 a 30/09/2026</t>
        </is>
      </c>
    </row>
    <row r="4" ht="19" customHeight="1">
      <c r="A4" s="11" t="inlineStr">
        <is>
          <t>APURADO NO INOVAFARMA — 12 MESES</t>
        </is>
      </c>
      <c r="B4" s="12" t="n"/>
      <c r="C4" s="12" t="n"/>
    </row>
    <row r="5">
      <c r="A5" s="6" t="inlineStr">
        <is>
          <t>Total de itens vendidos</t>
        </is>
      </c>
      <c r="B5" s="13" t="n">
        <v>17252</v>
      </c>
      <c r="C5" s="14" t="inlineStr"/>
    </row>
    <row r="6">
      <c r="A6" s="6" t="inlineStr">
        <is>
          <t>Venda bruta</t>
        </is>
      </c>
      <c r="B6" s="15" t="n">
        <v>562715.75</v>
      </c>
      <c r="C6" s="14" t="inlineStr"/>
    </row>
    <row r="7">
      <c r="A7" s="6" t="inlineStr">
        <is>
          <t>Descontos concedidos</t>
        </is>
      </c>
      <c r="B7" s="15" t="n">
        <v>-224944.06</v>
      </c>
      <c r="C7" s="14" t="inlineStr"/>
    </row>
    <row r="8">
      <c r="A8" s="16" t="inlineStr">
        <is>
          <t>Venda líquida</t>
        </is>
      </c>
      <c r="B8" s="17" t="n">
        <v>337771.69</v>
      </c>
      <c r="C8" s="14" t="inlineStr"/>
    </row>
    <row r="9">
      <c r="A9" s="18" t="inlineStr">
        <is>
          <t>Comissão apurada (12 meses)</t>
        </is>
      </c>
      <c r="B9" s="19" t="n">
        <v>10200.3462</v>
      </c>
      <c r="C9" s="14" t="inlineStr">
        <is>
          <t>Total do relatório RESUMIDO POR GRUPO.</t>
        </is>
      </c>
    </row>
    <row r="10">
      <c r="A10" s="18" t="inlineStr">
        <is>
          <t>Incentivos (12 meses)</t>
        </is>
      </c>
      <c r="B10" s="19" t="n">
        <v>2702</v>
      </c>
      <c r="C10" s="14" t="inlineStr">
        <is>
          <t>Injetáveis, populares, oficinais e demais incentivos.</t>
        </is>
      </c>
    </row>
    <row r="11" ht="19" customHeight="1">
      <c r="A11" s="11" t="inlineStr">
        <is>
          <t>MÉDIA MENSAL (÷ 12)</t>
        </is>
      </c>
      <c r="B11" s="12" t="n"/>
      <c r="C11" s="12" t="n"/>
    </row>
    <row r="12">
      <c r="A12" s="4" t="inlineStr">
        <is>
          <t>Média da comissão apurada</t>
        </is>
      </c>
      <c r="B12" s="20">
        <f>ROUND(B9/12,2)</f>
        <v/>
      </c>
      <c r="C12" s="14" t="inlineStr"/>
    </row>
    <row r="13">
      <c r="A13" s="4" t="inlineStr">
        <is>
          <t>Média dos incentivos</t>
        </is>
      </c>
      <c r="B13" s="20">
        <f>ROUND(B10/12,2)</f>
        <v/>
      </c>
      <c r="C13" s="14" t="inlineStr"/>
    </row>
    <row r="14">
      <c r="A14" s="21" t="inlineStr">
        <is>
          <t>Média da comissão em dobro</t>
        </is>
      </c>
      <c r="B14" s="22">
        <f>ROUND(B12*2,2)</f>
        <v/>
      </c>
      <c r="C14" s="14" t="inlineStr">
        <is>
          <t>Só vale se a loja pagou em dobro no período — ver o aviso no rodapé.</t>
        </is>
      </c>
    </row>
    <row r="15">
      <c r="A15" s="23" t="inlineStr">
        <is>
          <t>MÉDIA DA PARTE VARIÁVEL</t>
        </is>
      </c>
      <c r="B15" s="24">
        <f>ROUND(B12+B13,2)</f>
        <v/>
      </c>
      <c r="C15" s="14" t="inlineStr">
        <is>
          <t>Comissão apurada + incentivos. É esta média que entra na base das férias.</t>
        </is>
      </c>
    </row>
    <row r="16" ht="19" customHeight="1">
      <c r="A16" s="11" t="inlineStr">
        <is>
          <t>BASE DE FÉRIAS — SIMULAÇÃO PARA O CONTAS A PAGAR (30 dias)</t>
        </is>
      </c>
      <c r="B16" s="12" t="n"/>
      <c r="C16" s="12" t="n"/>
    </row>
    <row r="17">
      <c r="A17" s="25" t="inlineStr">
        <is>
          <t>Salário base</t>
        </is>
      </c>
      <c r="B17" s="26" t="n">
        <v>1621</v>
      </c>
      <c r="C17" s="14" t="inlineStr">
        <is>
          <t>Piso 2026. Conferir se era outro no mês das férias.</t>
        </is>
      </c>
    </row>
    <row r="18">
      <c r="A18" s="18" t="inlineStr">
        <is>
          <t>Base de férias (salário + média variável)</t>
        </is>
      </c>
      <c r="B18" s="19">
        <f>ROUND(B17+B15,2)</f>
        <v/>
      </c>
      <c r="C18" s="14" t="inlineStr"/>
    </row>
    <row r="19">
      <c r="A19" s="16" t="inlineStr">
        <is>
          <t>1/3 constitucional</t>
        </is>
      </c>
      <c r="B19" s="17">
        <f>ROUND(B18/3,2)</f>
        <v/>
      </c>
      <c r="C19" s="14" t="inlineStr"/>
    </row>
    <row r="20">
      <c r="A20" s="23" t="inlineStr">
        <is>
          <t>TOTAL BRUTO DAS FÉRIAS</t>
        </is>
      </c>
      <c r="B20" s="24">
        <f>ROUND(B18+B19,2)</f>
        <v/>
      </c>
      <c r="C20" s="14" t="inlineStr">
        <is>
          <t>Valor bruto. INSS e IRRF sobre férias são calculados pela contabilidade.</t>
        </is>
      </c>
    </row>
    <row r="22">
      <c r="A22" s="27" t="inlineStr">
        <is>
          <t>OBSERVAÇÕES:</t>
        </is>
      </c>
    </row>
    <row r="23">
      <c r="A23" s="28" t="inlineStr">
        <is>
          <t>Fonte: InovaFarma, relatório PRODUTOS VENDIDOS RESUMIDO POR GRUPO, vendedor VALDIC GONÇALVES RODRIGUES, período 01/09/2025 a 31/08/2026, extraído em 03/09/2026.</t>
        </is>
      </c>
    </row>
    <row r="24" ht="40" customHeight="1">
      <c r="A24" s="29" t="inlineStr">
        <is>
          <t>ATENÇÃO — TRANCOSO: o pagamento em dobro da comissão começou em agosto/2026, e em julho a comissão foi lançada por média. Nos meses anteriores dessa janela o que foi pago pode ter sido diferente do apurado. A média correta é sobre o que foi EFETIVAMENTE PAGO: se o dobro valeu em poucos meses, use a média da comissão apurada; se valeu no período todo, use a média em dobro. Confira com as planilhas de cada mês antes de fechar o recibo.</t>
        </is>
      </c>
    </row>
    <row r="25">
      <c r="A25" s="28" t="inlineStr">
        <is>
          <t>A média de férias é a soma dos 12 meses dividida por 12 — o relatório do período inteiro já dá essa soma, não precisa dos meses separados.</t>
        </is>
      </c>
    </row>
    <row r="26">
      <c r="A26" s="28" t="inlineStr">
        <is>
          <t>Só a parte variável entra nesta média. Horas extras, adicional noturno e prêmios, se houver, têm média própria e devem ser somados pela contabilidade.</t>
        </is>
      </c>
    </row>
    <row r="27">
      <c r="A27" s="28" t="inlineStr">
        <is>
          <t>Esta aba é uma simulação para o contas a pagar. O cálculo oficial do recibo de férias é da contabilidade.</t>
        </is>
      </c>
    </row>
  </sheetData>
  <mergeCells count="8">
    <mergeCell ref="A25:C25"/>
    <mergeCell ref="A1:C1"/>
    <mergeCell ref="A23:C23"/>
    <mergeCell ref="A22:C22"/>
    <mergeCell ref="A27:C27"/>
    <mergeCell ref="A26:C26"/>
    <mergeCell ref="A24:C2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66" customWidth="1" min="3" max="3"/>
  </cols>
  <sheetData>
    <row r="1" ht="26" customHeight="1">
      <c r="A1" s="1" t="inlineStr">
        <is>
          <t>MÉDIA DOS ÚLTIMOS 12 MESES — RENALDO RODRIGUES</t>
        </is>
      </c>
    </row>
    <row r="2">
      <c r="A2" s="2" t="inlineStr">
        <is>
          <t>Loja CENTRO (MATRIZ) · código 151 · período 01/09/2025 a 31/08/2026 · base para férias de 01 a 30/09/2026</t>
        </is>
      </c>
    </row>
    <row r="4" ht="19" customHeight="1">
      <c r="A4" s="11" t="inlineStr">
        <is>
          <t>APURADO NO INOVAFARMA — 12 MESES</t>
        </is>
      </c>
      <c r="B4" s="12" t="n"/>
      <c r="C4" s="12" t="n"/>
    </row>
    <row r="5">
      <c r="A5" s="6" t="inlineStr">
        <is>
          <t>Total de itens vendidos</t>
        </is>
      </c>
      <c r="B5" s="13" t="n">
        <v>15854</v>
      </c>
      <c r="C5" s="14" t="inlineStr"/>
    </row>
    <row r="6">
      <c r="A6" s="6" t="inlineStr">
        <is>
          <t>Venda bruta</t>
        </is>
      </c>
      <c r="B6" s="15" t="n">
        <v>481964.11</v>
      </c>
      <c r="C6" s="14" t="inlineStr"/>
    </row>
    <row r="7">
      <c r="A7" s="6" t="inlineStr">
        <is>
          <t>Descontos concedidos</t>
        </is>
      </c>
      <c r="B7" s="15" t="n">
        <v>-191683.4454</v>
      </c>
      <c r="C7" s="14" t="inlineStr"/>
    </row>
    <row r="8">
      <c r="A8" s="16" t="inlineStr">
        <is>
          <t>Venda líquida</t>
        </is>
      </c>
      <c r="B8" s="17" t="n">
        <v>290280.6646</v>
      </c>
      <c r="C8" s="14" t="inlineStr"/>
    </row>
    <row r="9">
      <c r="A9" s="18" t="inlineStr">
        <is>
          <t>Comissão apurada (12 meses)</t>
        </is>
      </c>
      <c r="B9" s="19" t="n">
        <v>9714.168799999999</v>
      </c>
      <c r="C9" s="14" t="inlineStr">
        <is>
          <t>Total do relatório RESUMIDO POR GRUPO.</t>
        </is>
      </c>
    </row>
    <row r="10">
      <c r="A10" s="18" t="inlineStr">
        <is>
          <t>Incentivos (12 meses)</t>
        </is>
      </c>
      <c r="B10" s="19" t="n">
        <v>1676</v>
      </c>
      <c r="C10" s="14" t="inlineStr">
        <is>
          <t>Injetáveis, populares, oficinais e demais incentivos.</t>
        </is>
      </c>
    </row>
    <row r="11" ht="19" customHeight="1">
      <c r="A11" s="11" t="inlineStr">
        <is>
          <t>MÉDIA MENSAL (÷ 12)</t>
        </is>
      </c>
      <c r="B11" s="12" t="n"/>
      <c r="C11" s="12" t="n"/>
    </row>
    <row r="12">
      <c r="A12" s="4" t="inlineStr">
        <is>
          <t>Média da comissão apurada</t>
        </is>
      </c>
      <c r="B12" s="20">
        <f>ROUND(B9/12,2)</f>
        <v/>
      </c>
      <c r="C12" s="14" t="inlineStr"/>
    </row>
    <row r="13">
      <c r="A13" s="4" t="inlineStr">
        <is>
          <t>Média dos incentivos</t>
        </is>
      </c>
      <c r="B13" s="20">
        <f>ROUND(B10/12,2)</f>
        <v/>
      </c>
      <c r="C13" s="14" t="inlineStr"/>
    </row>
    <row r="14">
      <c r="A14" s="23" t="inlineStr">
        <is>
          <t>MÉDIA DA PARTE VARIÁVEL</t>
        </is>
      </c>
      <c r="B14" s="24">
        <f>ROUND(B12+B13,2)</f>
        <v/>
      </c>
      <c r="C14" s="14" t="inlineStr">
        <is>
          <t>Comissão apurada + incentivos. É esta média que entra na base das férias.</t>
        </is>
      </c>
    </row>
    <row r="15" ht="19" customHeight="1">
      <c r="A15" s="11" t="inlineStr">
        <is>
          <t>BASE DE FÉRIAS — SIMULAÇÃO PARA O CONTAS A PAGAR (30 dias)</t>
        </is>
      </c>
      <c r="B15" s="12" t="n"/>
      <c r="C15" s="12" t="n"/>
    </row>
    <row r="16">
      <c r="A16" s="25" t="inlineStr">
        <is>
          <t>Salário base</t>
        </is>
      </c>
      <c r="B16" s="26" t="n">
        <v>1621</v>
      </c>
      <c r="C16" s="14" t="inlineStr">
        <is>
          <t>Piso 2026. Conferir se era outro no mês das férias.</t>
        </is>
      </c>
    </row>
    <row r="17">
      <c r="A17" s="18" t="inlineStr">
        <is>
          <t>Base de férias (salário + média variável)</t>
        </is>
      </c>
      <c r="B17" s="19">
        <f>ROUND(B16+B14,2)</f>
        <v/>
      </c>
      <c r="C17" s="14" t="inlineStr"/>
    </row>
    <row r="18">
      <c r="A18" s="16" t="inlineStr">
        <is>
          <t>1/3 constitucional</t>
        </is>
      </c>
      <c r="B18" s="17">
        <f>ROUND(B17/3,2)</f>
        <v/>
      </c>
      <c r="C18" s="14" t="inlineStr"/>
    </row>
    <row r="19">
      <c r="A19" s="23" t="inlineStr">
        <is>
          <t>TOTAL BRUTO DAS FÉRIAS</t>
        </is>
      </c>
      <c r="B19" s="24">
        <f>ROUND(B17+B18,2)</f>
        <v/>
      </c>
      <c r="C19" s="14" t="inlineStr">
        <is>
          <t>Valor bruto. INSS e IRRF sobre férias são calculados pela contabilidade.</t>
        </is>
      </c>
    </row>
    <row r="21">
      <c r="A21" s="27" t="inlineStr">
        <is>
          <t>OBSERVAÇÕES:</t>
        </is>
      </c>
    </row>
    <row r="22">
      <c r="A22" s="28" t="inlineStr">
        <is>
          <t>Fonte: InovaFarma, relatório PRODUTOS VENDIDOS RESUMIDO POR GRUPO, vendedor RENALDO RODRIGUES, período 01/09/2025 a 31/08/2026, extraído em 03/09/2026.</t>
        </is>
      </c>
    </row>
    <row r="23">
      <c r="A23" s="28" t="inlineStr">
        <is>
          <t>A média de férias é a soma dos 12 meses dividida por 12 — o relatório do período inteiro já dá essa soma, não precisa dos meses separados.</t>
        </is>
      </c>
    </row>
    <row r="24">
      <c r="A24" s="28" t="inlineStr">
        <is>
          <t>Só a parte variável entra nesta média. Horas extras, adicional noturno e prêmios, se houver, têm média própria e devem ser somados pela contabilidade.</t>
        </is>
      </c>
    </row>
    <row r="25">
      <c r="A25" s="28" t="inlineStr">
        <is>
          <t>Esta aba é uma simulação para o contas a pagar. O cálculo oficial do recibo de férias é da contabilidade.</t>
        </is>
      </c>
    </row>
  </sheetData>
  <mergeCells count="7">
    <mergeCell ref="A25:C25"/>
    <mergeCell ref="A1:C1"/>
    <mergeCell ref="A23:C23"/>
    <mergeCell ref="A22:C22"/>
    <mergeCell ref="A21:C21"/>
    <mergeCell ref="A24:C2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66" customWidth="1" min="3" max="3"/>
  </cols>
  <sheetData>
    <row r="1" ht="26" customHeight="1">
      <c r="A1" s="1" t="inlineStr">
        <is>
          <t>MÉDIA DOS ÚLTIMOS 12 MESES — MANOEL SILVA</t>
        </is>
      </c>
    </row>
    <row r="2">
      <c r="A2" s="2" t="inlineStr">
        <is>
          <t>Loja TRANCOSO · código 92 · período 01/05/2025 a 30/04/2026 · base para férias gozadas em maio/2026</t>
        </is>
      </c>
    </row>
    <row r="4" ht="19" customHeight="1">
      <c r="A4" s="11" t="inlineStr">
        <is>
          <t>APURADO NO INOVAFARMA — 12 MESES</t>
        </is>
      </c>
      <c r="B4" s="12" t="n"/>
      <c r="C4" s="12" t="n"/>
    </row>
    <row r="5">
      <c r="A5" s="6" t="inlineStr">
        <is>
          <t>Total de itens vendidos</t>
        </is>
      </c>
      <c r="B5" s="13" t="n">
        <v>11545</v>
      </c>
      <c r="C5" s="14" t="inlineStr"/>
    </row>
    <row r="6">
      <c r="A6" s="6" t="inlineStr">
        <is>
          <t>Venda bruta</t>
        </is>
      </c>
      <c r="B6" s="15" t="n">
        <v>363522.79</v>
      </c>
      <c r="C6" s="14" t="inlineStr"/>
    </row>
    <row r="7">
      <c r="A7" s="6" t="inlineStr">
        <is>
          <t>Descontos concedidos</t>
        </is>
      </c>
      <c r="B7" s="15" t="n">
        <v>-133067.63</v>
      </c>
      <c r="C7" s="14" t="inlineStr"/>
    </row>
    <row r="8">
      <c r="A8" s="16" t="inlineStr">
        <is>
          <t>Venda líquida</t>
        </is>
      </c>
      <c r="B8" s="17" t="n">
        <v>230455.16</v>
      </c>
      <c r="C8" s="14" t="inlineStr"/>
    </row>
    <row r="9">
      <c r="A9" s="18" t="inlineStr">
        <is>
          <t>Comissão apurada (12 meses)</t>
        </is>
      </c>
      <c r="B9" s="19" t="n">
        <v>7253.0803</v>
      </c>
      <c r="C9" s="14" t="inlineStr">
        <is>
          <t>Total do relatório RESUMIDO POR GRUPO.</t>
        </is>
      </c>
    </row>
    <row r="10">
      <c r="A10" s="18" t="inlineStr">
        <is>
          <t>Incentivos (12 meses)</t>
        </is>
      </c>
      <c r="B10" s="19" t="n">
        <v>421</v>
      </c>
      <c r="C10" s="14" t="inlineStr">
        <is>
          <t>Injetáveis, populares, oficinais e demais incentivos.</t>
        </is>
      </c>
    </row>
    <row r="11" ht="19" customHeight="1">
      <c r="A11" s="11" t="inlineStr">
        <is>
          <t>MÉDIA MENSAL (÷ 12)</t>
        </is>
      </c>
      <c r="B11" s="12" t="n"/>
      <c r="C11" s="12" t="n"/>
    </row>
    <row r="12">
      <c r="A12" s="4" t="inlineStr">
        <is>
          <t>Média da comissão apurada</t>
        </is>
      </c>
      <c r="B12" s="20">
        <f>ROUND(B9/12,2)</f>
        <v/>
      </c>
      <c r="C12" s="14" t="inlineStr"/>
    </row>
    <row r="13">
      <c r="A13" s="4" t="inlineStr">
        <is>
          <t>Média dos incentivos</t>
        </is>
      </c>
      <c r="B13" s="20">
        <f>ROUND(B10/12,2)</f>
        <v/>
      </c>
      <c r="C13" s="14" t="inlineStr"/>
    </row>
    <row r="14">
      <c r="A14" s="21" t="inlineStr">
        <is>
          <t>Média da comissão em dobro</t>
        </is>
      </c>
      <c r="B14" s="22">
        <f>ROUND(B12*2,2)</f>
        <v/>
      </c>
      <c r="C14" s="14" t="inlineStr">
        <is>
          <t>Só vale se a loja pagou em dobro no período — ver o aviso no rodapé.</t>
        </is>
      </c>
    </row>
    <row r="15">
      <c r="A15" s="23" t="inlineStr">
        <is>
          <t>MÉDIA DA PARTE VARIÁVEL</t>
        </is>
      </c>
      <c r="B15" s="24">
        <f>ROUND(B12+B13,2)</f>
        <v/>
      </c>
      <c r="C15" s="14" t="inlineStr">
        <is>
          <t>Comissão apurada + incentivos. É esta média que entra na base das férias.</t>
        </is>
      </c>
    </row>
    <row r="16" ht="19" customHeight="1">
      <c r="A16" s="11" t="inlineStr">
        <is>
          <t>BASE DE FÉRIAS — SIMULAÇÃO PARA O CONTAS A PAGAR (30 dias)</t>
        </is>
      </c>
      <c r="B16" s="12" t="n"/>
      <c r="C16" s="12" t="n"/>
    </row>
    <row r="17">
      <c r="A17" s="25" t="inlineStr">
        <is>
          <t>Salário base</t>
        </is>
      </c>
      <c r="B17" s="26" t="n">
        <v>1621</v>
      </c>
      <c r="C17" s="14" t="inlineStr">
        <is>
          <t>Piso 2026. Conferir se era outro no mês das férias.</t>
        </is>
      </c>
    </row>
    <row r="18">
      <c r="A18" s="18" t="inlineStr">
        <is>
          <t>Base de férias (salário + média variável)</t>
        </is>
      </c>
      <c r="B18" s="19">
        <f>ROUND(B17+B15,2)</f>
        <v/>
      </c>
      <c r="C18" s="14" t="inlineStr"/>
    </row>
    <row r="19">
      <c r="A19" s="16" t="inlineStr">
        <is>
          <t>1/3 constitucional</t>
        </is>
      </c>
      <c r="B19" s="17">
        <f>ROUND(B18/3,2)</f>
        <v/>
      </c>
      <c r="C19" s="14" t="inlineStr"/>
    </row>
    <row r="20">
      <c r="A20" s="23" t="inlineStr">
        <is>
          <t>TOTAL BRUTO DAS FÉRIAS</t>
        </is>
      </c>
      <c r="B20" s="24">
        <f>ROUND(B18+B19,2)</f>
        <v/>
      </c>
      <c r="C20" s="14" t="inlineStr">
        <is>
          <t>Valor bruto. INSS e IRRF sobre férias são calculados pela contabilidade.</t>
        </is>
      </c>
    </row>
    <row r="22">
      <c r="A22" s="27" t="inlineStr">
        <is>
          <t>OBSERVAÇÕES:</t>
        </is>
      </c>
    </row>
    <row r="23">
      <c r="A23" s="28" t="inlineStr">
        <is>
          <t>Fonte: InovaFarma, relatório PRODUTOS VENDIDOS RESUMIDO POR GRUPO, vendedor MANOEL SILVA, período 01/05/2025 a 30/04/2026, extraído em 03/09/2026.</t>
        </is>
      </c>
    </row>
    <row r="24" ht="40" customHeight="1">
      <c r="A24" s="29" t="inlineStr">
        <is>
          <t>ATENÇÃO — TRANCOSO: o pagamento em dobro da comissão começou em agosto/2026, e em julho a comissão foi lançada por média. Nos meses anteriores dessa janela o que foi pago pode ter sido diferente do apurado. A média correta é sobre o que foi EFETIVAMENTE PAGO: se o dobro valeu em poucos meses, use a média da comissão apurada; se valeu no período todo, use a média em dobro. Confira com as planilhas de cada mês antes de fechar o recibo.</t>
        </is>
      </c>
    </row>
    <row r="25">
      <c r="A25" s="28" t="inlineStr">
        <is>
          <t>A média de férias é a soma dos 12 meses dividida por 12 — o relatório do período inteiro já dá essa soma, não precisa dos meses separados.</t>
        </is>
      </c>
    </row>
    <row r="26">
      <c r="A26" s="28" t="inlineStr">
        <is>
          <t>Só a parte variável entra nesta média. Horas extras, adicional noturno e prêmios, se houver, têm média própria e devem ser somados pela contabilidade.</t>
        </is>
      </c>
    </row>
    <row r="27">
      <c r="A27" s="28" t="inlineStr">
        <is>
          <t>Esta aba é uma simulação para o contas a pagar. O cálculo oficial do recibo de férias é da contabilidade.</t>
        </is>
      </c>
    </row>
  </sheetData>
  <mergeCells count="8">
    <mergeCell ref="A25:C25"/>
    <mergeCell ref="A1:C1"/>
    <mergeCell ref="A23:C23"/>
    <mergeCell ref="A22:C22"/>
    <mergeCell ref="A27:C27"/>
    <mergeCell ref="A26:C26"/>
    <mergeCell ref="A24:C24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2026-09-03T16:43:23Z</dcterms:created>
  <dcterms:modified xsi:type="dcterms:W3CDTF">2026-09-03T16:43:23Z</dcterms:modified>
</cp:coreProperties>
</file>