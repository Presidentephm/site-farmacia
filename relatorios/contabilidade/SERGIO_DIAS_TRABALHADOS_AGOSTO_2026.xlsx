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GIO AGO.26" sheetId="1" state="visible" r:id="rId1"/>
  </sheets>
  <definedNames>
    <definedName name="_xlnm._FilterDatabase" localSheetId="0" hidden="1">'SERGIO AGO.26'!$A$4:$I$11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i val="1"/>
      <color rgb="00000000"/>
      <sz val="9"/>
    </font>
    <font>
      <name val="Arial"/>
      <color rgb="000000FF"/>
      <sz val="10"/>
    </font>
    <font>
      <name val="Arial"/>
      <b val="1"/>
      <color rgb="00000000"/>
      <sz val="11"/>
    </font>
    <font>
      <name val="Arial"/>
      <b val="1"/>
      <color rgb="00C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0F0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0" fontId="4" fillId="5" borderId="1" pivotButton="0" quotePrefix="0" xfId="0"/>
    <xf numFmtId="1" fontId="4" fillId="5" borderId="1" applyAlignment="1" pivotButton="0" quotePrefix="0" xfId="0">
      <alignment horizontal="center"/>
    </xf>
    <xf numFmtId="164" fontId="4" fillId="5" borderId="1" pivotButton="0" quotePrefix="0" xfId="0"/>
    <xf numFmtId="0" fontId="0" fillId="5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0" fillId="0" borderId="4" pivotButton="0" quotePrefix="0" xfId="0"/>
    <xf numFmtId="0" fontId="0" fillId="0" borderId="5" pivotButton="0" quotePrefix="0" xfId="0"/>
    <xf numFmtId="1" fontId="5" fillId="0" borderId="1" pivotButton="0" quotePrefix="0" xfId="0"/>
    <xf numFmtId="0" fontId="7" fillId="0" borderId="0" applyAlignment="1" pivotButton="0" quotePrefix="0" xfId="0">
      <alignment vertical="center" wrapText="1"/>
    </xf>
    <xf numFmtId="0" fontId="5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164" fontId="8" fillId="7" borderId="1" pivotButton="0" quotePrefix="0" xfId="0"/>
    <xf numFmtId="0" fontId="4" fillId="8" borderId="1" pivotButton="0" quotePrefix="0" xfId="0"/>
    <xf numFmtId="0" fontId="0" fillId="8" borderId="4" pivotButton="0" quotePrefix="0" xfId="0"/>
    <xf numFmtId="0" fontId="0" fillId="8" borderId="5" pivotButton="0" quotePrefix="0" xfId="0"/>
    <xf numFmtId="164" fontId="9" fillId="8" borderId="1" pivotButton="0" quotePrefix="0" xfId="0"/>
    <xf numFmtId="164" fontId="5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14" customWidth="1" min="5" max="5"/>
    <col width="14" customWidth="1" min="6" max="6"/>
    <col width="12" customWidth="1" min="7" max="7"/>
    <col width="11" customWidth="1" min="8" max="8"/>
    <col width="16" customWidth="1" min="9" max="9"/>
  </cols>
  <sheetData>
    <row r="1" ht="26" customHeight="1">
      <c r="A1" s="1" t="inlineStr">
        <is>
          <t>DIAS TRABALHADOS E VENDAS — SERGIO (FOLGUISTA)</t>
        </is>
      </c>
    </row>
    <row r="2">
      <c r="A2" s="2" t="inlineStr">
        <is>
          <t>Loja CENTRO (matriz) · código 51 · agosto/2026 · fonte InovaFarma, extraído em 03/09/2026</t>
        </is>
      </c>
    </row>
    <row r="4" ht="28" customHeight="1">
      <c r="A4" s="3" t="inlineStr">
        <is>
          <t>DATA</t>
        </is>
      </c>
      <c r="B4" s="3" t="inlineStr">
        <is>
          <t>DIA DA SEMANA</t>
        </is>
      </c>
      <c r="C4" s="3" t="inlineStr">
        <is>
          <t>PEDIDOS</t>
        </is>
      </c>
      <c r="D4" s="3" t="inlineStr">
        <is>
          <t>ITENS</t>
        </is>
      </c>
      <c r="E4" s="3" t="inlineStr">
        <is>
          <t>VENDA BRUTA</t>
        </is>
      </c>
      <c r="F4" s="3" t="inlineStr">
        <is>
          <t>VENDA LÍQUIDA</t>
        </is>
      </c>
      <c r="G4" s="3" t="inlineStr">
        <is>
          <t>COMISSÃO</t>
        </is>
      </c>
      <c r="H4" s="3" t="inlineStr">
        <is>
          <t>INCENTIVO</t>
        </is>
      </c>
      <c r="I4" s="3" t="inlineStr">
        <is>
          <t>1ª / ÚLTIMA VENDA</t>
        </is>
      </c>
    </row>
    <row r="5">
      <c r="A5" s="4" t="inlineStr">
        <is>
          <t>01/08/2026</t>
        </is>
      </c>
      <c r="B5" s="5" t="inlineStr">
        <is>
          <t>sábado</t>
        </is>
      </c>
      <c r="C5" s="6" t="n">
        <v>1</v>
      </c>
      <c r="D5" s="6" t="n">
        <v>1</v>
      </c>
      <c r="E5" s="7" t="n">
        <v>17.08</v>
      </c>
      <c r="F5" s="7" t="n">
        <v>3.99</v>
      </c>
      <c r="G5" s="7" t="n">
        <v>0.2</v>
      </c>
      <c r="H5" s="7" t="n">
        <v>0</v>
      </c>
      <c r="I5" s="6" t="inlineStr">
        <is>
          <t>11:44 — 11:44</t>
        </is>
      </c>
    </row>
    <row r="6">
      <c r="A6" s="4" t="inlineStr">
        <is>
          <t>07/08/2026</t>
        </is>
      </c>
      <c r="B6" s="5" t="inlineStr">
        <is>
          <t>sexta</t>
        </is>
      </c>
      <c r="C6" s="6" t="n">
        <v>28</v>
      </c>
      <c r="D6" s="6" t="n">
        <v>41</v>
      </c>
      <c r="E6" s="7" t="n">
        <v>1214.93</v>
      </c>
      <c r="F6" s="7" t="n">
        <v>785.04</v>
      </c>
      <c r="G6" s="7" t="n">
        <v>32.18</v>
      </c>
      <c r="H6" s="7" t="n">
        <v>20</v>
      </c>
      <c r="I6" s="6" t="inlineStr">
        <is>
          <t>16:51 — 20:41</t>
        </is>
      </c>
    </row>
    <row r="7">
      <c r="A7" s="4" t="inlineStr">
        <is>
          <t>08/08/2026</t>
        </is>
      </c>
      <c r="B7" s="5" t="inlineStr">
        <is>
          <t>sábado</t>
        </is>
      </c>
      <c r="C7" s="6" t="n">
        <v>20</v>
      </c>
      <c r="D7" s="6" t="n">
        <v>41</v>
      </c>
      <c r="E7" s="7" t="n">
        <v>1069.15</v>
      </c>
      <c r="F7" s="7" t="n">
        <v>858.8</v>
      </c>
      <c r="G7" s="7" t="n">
        <v>22.29</v>
      </c>
      <c r="H7" s="7" t="n">
        <v>10</v>
      </c>
      <c r="I7" s="6" t="inlineStr">
        <is>
          <t>08:25 — 18:00</t>
        </is>
      </c>
    </row>
    <row r="8">
      <c r="A8" s="8" t="inlineStr">
        <is>
          <t>09/08/2026</t>
        </is>
      </c>
      <c r="B8" s="9" t="inlineStr">
        <is>
          <t>domingo</t>
        </is>
      </c>
      <c r="C8" s="10" t="n">
        <v>12</v>
      </c>
      <c r="D8" s="10" t="n">
        <v>25</v>
      </c>
      <c r="E8" s="11" t="n">
        <v>1121.29</v>
      </c>
      <c r="F8" s="11" t="n">
        <v>416.78</v>
      </c>
      <c r="G8" s="11" t="n">
        <v>17.4</v>
      </c>
      <c r="H8" s="11" t="n">
        <v>0</v>
      </c>
      <c r="I8" s="10" t="inlineStr">
        <is>
          <t>09:09 — 19:56</t>
        </is>
      </c>
    </row>
    <row r="9">
      <c r="A9" s="4" t="inlineStr">
        <is>
          <t>15/08/2026</t>
        </is>
      </c>
      <c r="B9" s="5" t="inlineStr">
        <is>
          <t>sábado</t>
        </is>
      </c>
      <c r="C9" s="6" t="n">
        <v>23</v>
      </c>
      <c r="D9" s="6" t="n">
        <v>51</v>
      </c>
      <c r="E9" s="7" t="n">
        <v>1822.3</v>
      </c>
      <c r="F9" s="7" t="n">
        <v>1041.92</v>
      </c>
      <c r="G9" s="7" t="n">
        <v>41.16</v>
      </c>
      <c r="H9" s="7" t="n">
        <v>10</v>
      </c>
      <c r="I9" s="6" t="inlineStr">
        <is>
          <t>08:38 — 15:01</t>
        </is>
      </c>
    </row>
    <row r="10">
      <c r="A10" s="8" t="inlineStr">
        <is>
          <t>16/08/2026</t>
        </is>
      </c>
      <c r="B10" s="9" t="inlineStr">
        <is>
          <t>domingo</t>
        </is>
      </c>
      <c r="C10" s="10" t="n">
        <v>14</v>
      </c>
      <c r="D10" s="10" t="n">
        <v>19</v>
      </c>
      <c r="E10" s="11" t="n">
        <v>695.28</v>
      </c>
      <c r="F10" s="11" t="n">
        <v>393.94</v>
      </c>
      <c r="G10" s="11" t="n">
        <v>15.56</v>
      </c>
      <c r="H10" s="11" t="n">
        <v>0</v>
      </c>
      <c r="I10" s="10" t="inlineStr">
        <is>
          <t>08:34 — 14:37</t>
        </is>
      </c>
    </row>
    <row r="11">
      <c r="A11" s="4" t="inlineStr">
        <is>
          <t>26/08/2026</t>
        </is>
      </c>
      <c r="B11" s="5" t="inlineStr">
        <is>
          <t>quarta</t>
        </is>
      </c>
      <c r="C11" s="6" t="n">
        <v>1</v>
      </c>
      <c r="D11" s="6" t="n">
        <v>3</v>
      </c>
      <c r="E11" s="7" t="n">
        <v>83.94</v>
      </c>
      <c r="F11" s="7" t="n">
        <v>0.03</v>
      </c>
      <c r="G11" s="7" t="n">
        <v>0.01</v>
      </c>
      <c r="H11" s="7" t="n">
        <v>0</v>
      </c>
      <c r="I11" s="6" t="inlineStr">
        <is>
          <t>10:33 — 10:33</t>
        </is>
      </c>
    </row>
    <row r="12">
      <c r="A12" s="12" t="inlineStr">
        <is>
          <t>TOTAL</t>
        </is>
      </c>
      <c r="B12" s="12" t="inlineStr">
        <is>
          <t>7 dias</t>
        </is>
      </c>
      <c r="C12" s="13">
        <f>SUM(C5:C11)</f>
        <v/>
      </c>
      <c r="D12" s="13">
        <f>SUM(D5:D11)</f>
        <v/>
      </c>
      <c r="E12" s="14">
        <f>SUM(E5:E11)</f>
        <v/>
      </c>
      <c r="F12" s="14">
        <f>SUM(F5:F11)</f>
        <v/>
      </c>
      <c r="G12" s="14">
        <f>SUM(G5:G11)</f>
        <v/>
      </c>
      <c r="H12" s="14">
        <f>SUM(H5:H11)</f>
        <v/>
      </c>
      <c r="I12" s="15" t="n"/>
    </row>
    <row r="14">
      <c r="A14" s="16" t="inlineStr">
        <is>
          <t>DIÁRIAS PARA O CONTAS A PAGAR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5" t="inlineStr">
        <is>
          <t>Dias com venda registrada</t>
        </is>
      </c>
      <c r="B15" s="18" t="n"/>
      <c r="C15" s="18" t="n"/>
      <c r="D15" s="19" t="n"/>
      <c r="E15" s="20" t="n">
        <v>7</v>
      </c>
      <c r="F15" s="21" t="inlineStr">
        <is>
          <t>Todo dia com pedido lançado no código, mesmo que uma venda só.</t>
        </is>
      </c>
    </row>
    <row r="16">
      <c r="A16" s="5" t="inlineStr">
        <is>
          <t>Dias com movimento efetivo</t>
        </is>
      </c>
      <c r="B16" s="18" t="n"/>
      <c r="C16" s="18" t="n"/>
      <c r="D16" s="19" t="n"/>
      <c r="E16" s="20" t="n">
        <v>5</v>
      </c>
      <c r="F16" s="21" t="inlineStr">
        <is>
          <t>Sem os dias que tiveram uma única venda de valor simbólico — ver a observação no rodapé.</t>
        </is>
      </c>
    </row>
    <row r="17">
      <c r="A17" s="22" t="inlineStr">
        <is>
          <t>Valor da diária</t>
        </is>
      </c>
      <c r="B17" s="23" t="n"/>
      <c r="C17" s="23" t="n"/>
      <c r="D17" s="24" t="n"/>
      <c r="E17" s="25" t="n">
        <v>150</v>
      </c>
      <c r="F17" s="21" t="inlineStr">
        <is>
          <t>Valor combinado com a empresa.</t>
        </is>
      </c>
    </row>
    <row r="18">
      <c r="A18" s="26" t="inlineStr">
        <is>
          <t>TOTAL DE DIÁRIAS</t>
        </is>
      </c>
      <c r="B18" s="27" t="n"/>
      <c r="C18" s="27" t="n"/>
      <c r="D18" s="28" t="n"/>
      <c r="E18" s="29">
        <f>E15*E17</f>
        <v/>
      </c>
      <c r="F18" s="21" t="inlineStr">
        <is>
          <t>Levar para o contas a pagar / aba FOLGUISTAS do relatório do Centro. Ajustar a quantidade de dias se algum não valer diária.</t>
        </is>
      </c>
    </row>
    <row r="19">
      <c r="A19" s="5" t="inlineStr">
        <is>
          <t>Comissão apurada no período</t>
        </is>
      </c>
      <c r="B19" s="18" t="n"/>
      <c r="C19" s="18" t="n"/>
      <c r="D19" s="19" t="n"/>
      <c r="E19" s="30">
        <f>G12</f>
        <v/>
      </c>
      <c r="F19" s="21" t="inlineStr">
        <is>
          <t>Confirmar se folguista recebe comissão além da diária.</t>
        </is>
      </c>
    </row>
    <row r="21">
      <c r="A21" s="31" t="inlineStr">
        <is>
          <t>COMO LER ESTE RELATÓRIO:</t>
        </is>
      </c>
    </row>
    <row r="22">
      <c r="A22" s="32" t="inlineStr">
        <is>
          <t>A lista traz os dias em que houve VENDA registrada no código 131. Um dia em que ela tenha trabalhado sem realizar nenhuma venda não aparece aqui — conferir com a escala da loja.</t>
        </is>
      </c>
    </row>
    <row r="23">
      <c r="A23" s="32" t="inlineStr">
        <is>
          <t>Os horários da última coluna são da primeira e da última venda do dia; servem para conferir o turno, não são registro de ponto.</t>
        </is>
      </c>
    </row>
    <row r="24">
      <c r="A24" s="32" t="inlineStr">
        <is>
          <t>Os domingos estão destacados em vermelho claro.</t>
        </is>
      </c>
    </row>
    <row r="25">
      <c r="A25" s="32" t="inlineStr">
        <is>
          <t>Dias da semana em que houve venda: sábado (3x), domingo (2x), sexta (1x), quarta (1x).</t>
        </is>
      </c>
    </row>
    <row r="26">
      <c r="A26" s="32" t="inlineStr">
        <is>
          <t>ATENÇÃO: 01/08, 26/08 teve(tiveram) uma única venda de valor simbólico no código dele — provavelmente lançamento avulso, não um dia de trabalho. Conferir com a escala antes de contar a diária.</t>
        </is>
      </c>
    </row>
    <row r="27">
      <c r="A27" s="32" t="inlineStr">
        <is>
          <t>Estes valores NÃO entram no holerite: folguista é pagamento por diária, lançado no contas a pagar.</t>
        </is>
      </c>
    </row>
  </sheetData>
  <autoFilter ref="A4:I11"/>
  <mergeCells count="19">
    <mergeCell ref="A17:D17"/>
    <mergeCell ref="A25:I25"/>
    <mergeCell ref="A27:I27"/>
    <mergeCell ref="A19:D19"/>
    <mergeCell ref="A26:I26"/>
    <mergeCell ref="A21:I21"/>
    <mergeCell ref="A2:I2"/>
    <mergeCell ref="A15:D15"/>
    <mergeCell ref="A23:I23"/>
    <mergeCell ref="F16:I16"/>
    <mergeCell ref="A22:I22"/>
    <mergeCell ref="F19:I19"/>
    <mergeCell ref="F15:I15"/>
    <mergeCell ref="A16:D16"/>
    <mergeCell ref="A24:I24"/>
    <mergeCell ref="F18:I18"/>
    <mergeCell ref="A18:D18"/>
    <mergeCell ref="F17:I17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2026-09-07T15:28:32Z</dcterms:created>
  <dcterms:modified xsi:type="dcterms:W3CDTF">2026-09-07T15:28:32Z</dcterms:modified>
</cp:coreProperties>
</file>