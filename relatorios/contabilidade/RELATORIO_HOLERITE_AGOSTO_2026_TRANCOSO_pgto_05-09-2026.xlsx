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AGO.26'!$A$4:$H$42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Os prêmios, vales, INSS e IRRF vieram do holerite de agosto emitido pela Betel Contabilidade. A linha DIFERENÇA fecha em zero para todos, exceto INIURLE, cujas horas extras foram corrigidas depois (16 h a 50% + 24 h a 100%).</t>
        </is>
      </c>
    </row>
    <row r="23" ht="17" customHeight="1">
      <c r="A23" s="4" t="inlineStr"/>
      <c r="B23" s="5" t="inlineStr">
        <is>
          <t>TRANCOSO PAGA O DOBRO DA COMISSÃO APURADA: a linha COMISSÃO PRODUTOS já multiplica por 2 o valor do InovaFarma (multiplicador na aba PARÂMETROS).</t>
        </is>
      </c>
    </row>
    <row r="24" ht="17" customHeight="1">
      <c r="A24" s="4" t="inlineStr"/>
      <c r="B24" s="5" t="inlineStr">
        <is>
          <t>Os incentivos são simples: entram pelo valor apurado, sem dobrar.</t>
        </is>
      </c>
    </row>
    <row r="25" ht="17" customHeight="1">
      <c r="A25" s="4" t="inlineStr"/>
      <c r="B25" s="5" t="inlineStr">
        <is>
          <t>Em julho/2026 a comissão foi lançada por média. Com a comissão dobrada a partir de agosto, a empresa vai reduzir nas premiações a diferença.</t>
        </is>
      </c>
    </row>
    <row r="26" ht="17" customHeight="1">
      <c r="A26" s="4" t="inlineStr"/>
      <c r="B26" s="5" t="inlineStr">
        <is>
          <t>UILLIAN: não recebe comissão sobre vendas (mesmo critério de julho/2026) — a rubrica fica zerada e o apurado dele aparece só na aba BASE.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TAMILES: atestado de 02/09 a 08/09/2026 — lançar na folha de SETEMBRO como falta justificada (abonada), sem desconto. Não entra nesta folha de agosto.</t>
        </is>
      </c>
    </row>
    <row r="33" ht="17" customHeight="1">
      <c r="A33" s="4" t="inlineStr">
        <is>
          <t>•</t>
        </is>
      </c>
      <c r="B33" s="6" t="inlineStr">
        <is>
          <t>Lançar na linha PRÊMIO COTA GERAL o valor já com a redução combinada, para compensar o aumento da comissão dobrada.</t>
        </is>
      </c>
    </row>
    <row r="34" ht="17" customHeight="1">
      <c r="A34" s="4" t="inlineStr">
        <is>
          <t>•</t>
        </is>
      </c>
      <c r="B34" s="6" t="inlineStr">
        <is>
          <t>UILLIAN também registra vendas no relatório da loja Centro — conferir se alguma comissão deve ser rateada entre as lojas.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(TRANCOSO 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de hora extra 100%</t>
        </is>
      </c>
      <c r="B18" s="12" t="n">
        <v>1</v>
      </c>
      <c r="C18" s="9" t="inlineStr">
        <is>
          <t>100% sobre a hora normal (hora extra = salário-hora × 2).</t>
        </is>
      </c>
    </row>
    <row r="19">
      <c r="A19" s="7" t="inlineStr">
        <is>
          <t>Adicional noturno</t>
        </is>
      </c>
      <c r="B19" s="12" t="n">
        <v>0.2</v>
      </c>
      <c r="C19" s="9" t="inlineStr">
        <is>
          <t>20% sobre a hora normal, nas horas entre 22h e 5h.</t>
        </is>
      </c>
    </row>
    <row r="20">
      <c r="A20" s="7" t="inlineStr">
        <is>
          <t>Dias do mês para o salário-dia</t>
        </is>
      </c>
      <c r="B20" s="8" t="n">
        <v>30</v>
      </c>
      <c r="C20" s="9" t="inlineStr">
        <is>
          <t>Salário-dia = salário base ÷ 30. Usado no feriado trabalhado.</t>
        </is>
      </c>
    </row>
    <row r="21">
      <c r="A21" s="7" t="inlineStr">
        <is>
          <t>Multiplicador da comissão</t>
        </is>
      </c>
      <c r="B21" s="12" t="n">
        <v>2</v>
      </c>
      <c r="C21" s="9" t="inlineStr">
        <is>
          <t>TRANCOSO paga o dobro do valor apurado no InovaFarma.</t>
        </is>
      </c>
    </row>
    <row r="22" ht="20" customHeight="1">
      <c r="A22" s="3" t="inlineStr">
        <is>
          <t>INSS / IRRF</t>
        </is>
      </c>
    </row>
    <row r="23">
      <c r="A23" s="7" t="inlineStr">
        <is>
          <t>INSS</t>
        </is>
      </c>
      <c r="B23" s="8" t="inlineStr">
        <is>
          <t>a calcular</t>
        </is>
      </c>
      <c r="C23" s="9" t="inlineStr">
        <is>
          <t>Calculado pela contabilidade sobre o total de proventos (tabela progressiva vigente).</t>
        </is>
      </c>
    </row>
    <row r="24">
      <c r="A24" s="7" t="inlineStr">
        <is>
          <t>IRRF</t>
        </is>
      </c>
      <c r="B24" s="8" t="inlineStr">
        <is>
          <t>a calcular</t>
        </is>
      </c>
      <c r="C24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2:C22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AGO.26'!$G$5:$G$14,'PONTO AGO.26'!$A$5:$A$14,B$4,'PONTO AGO.26'!$H$5:$H$14,"ADICIONAL NOTURNO")</f>
        <v/>
      </c>
      <c r="C7" s="33">
        <f>SUMIFS('PONTO AGO.26'!$G$5:$G$14,'PONTO AGO.26'!$A$5:$A$14,C$4,'PONTO AGO.26'!$H$5:$H$14,"ADICIONAL NOTURNO")</f>
        <v/>
      </c>
      <c r="D7" s="33">
        <f>SUMIFS('PONTO AGO.26'!$G$5:$G$14,'PONTO AGO.26'!$A$5:$A$14,D$4,'PONTO AGO.26'!$H$5:$H$14,"ADICIONAL NOTURNO")</f>
        <v/>
      </c>
      <c r="E7" s="33">
        <f>SUMIFS('PONTO AGO.26'!$G$5:$G$14,'PONTO AGO.26'!$A$5:$A$14,E$4,'PONTO AGO.26'!$H$5:$H$14,"ADICIONAL NOTURNO")</f>
        <v/>
      </c>
      <c r="F7" s="33">
        <f>SUMIFS('PONTO AGO.26'!$G$5:$G$14,'PONTO AGO.26'!$A$5:$A$14,F$4,'PONTO AGO.26'!$H$5:$H$14,"ADICIONAL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AGO.26'!$G$5:$G$14,'PONTO AGO.26'!$A$5:$A$14,B$4,'PONTO AGO.26'!$H$5:$H$14,"HORAS EXTRAS")</f>
        <v/>
      </c>
      <c r="C8" s="33">
        <f>SUMIFS('PONTO AGO.26'!$G$5:$G$14,'PONTO AGO.26'!$A$5:$A$14,C$4,'PONTO AGO.26'!$H$5:$H$14,"HORAS EXTRAS")</f>
        <v/>
      </c>
      <c r="D8" s="33">
        <f>SUMIFS('PONTO AGO.26'!$G$5:$G$14,'PONTO AGO.26'!$A$5:$A$14,D$4,'PONTO AGO.26'!$H$5:$H$14,"HORAS EXTRAS")</f>
        <v/>
      </c>
      <c r="E8" s="33">
        <f>SUMIFS('PONTO AGO.26'!$G$5:$G$14,'PONTO AGO.26'!$A$5:$A$14,E$4,'PONTO AGO.26'!$H$5:$H$14,"HORAS EXTRAS")</f>
        <v/>
      </c>
      <c r="F8" s="33">
        <f>SUMIFS('PONTO AGO.26'!$G$5:$G$14,'PONTO AGO.26'!$A$5:$A$14,F$4,'PONTO AGO.26'!$H$5:$H$14,"HORAS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AGO.26'!F6*PARÂMETROS!$B$21,2)</f>
        <v/>
      </c>
      <c r="D9" s="33">
        <f>ROUND('BASE INOVAFARMA AGO.26'!F7*PARÂMETROS!$B$21,2)</f>
        <v/>
      </c>
      <c r="E9" s="33">
        <f>ROUND('BASE INOVAFARMA AGO.26'!F8*PARÂMETROS!$B$21,2)</f>
        <v/>
      </c>
      <c r="F9" s="33">
        <f>ROUND('BASE INOVAFARMA AGO.26'!F9*PARÂMETROS!$B$21,2)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DSR SOBRE HORAS EXTRAS</t>
        </is>
      </c>
      <c r="B13" s="36" t="n"/>
      <c r="C13" s="36" t="n"/>
      <c r="D13" s="36" t="n"/>
      <c r="E13" s="36" t="n">
        <v>85.02</v>
      </c>
      <c r="F13" s="36" t="n"/>
      <c r="G13" s="37">
        <f>SUM(B13:F13)</f>
        <v/>
      </c>
      <c r="H13" s="32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29" t="inlineStr">
        <is>
          <t>SALÁRIO FAMÍLIA</t>
        </is>
      </c>
      <c r="B14" s="30" t="n"/>
      <c r="C14" s="30" t="n"/>
      <c r="D14" s="30" t="n"/>
      <c r="E14" s="30" t="n"/>
      <c r="F14" s="30" t="n"/>
      <c r="G14" s="31">
        <f>SUM(B14:F14)</f>
        <v/>
      </c>
      <c r="H14" s="32" t="inlineStr">
        <is>
          <t>Rubrica 599 do holerite da Betel.</t>
        </is>
      </c>
    </row>
    <row r="15">
      <c r="A15" s="29" t="inlineStr">
        <is>
          <t>INSUFICIÊNCIA DE SALDO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Rubrica 998 do holerite da Betel — contrapartida do vale-transporte de quem ficou sem saldo.</t>
        </is>
      </c>
    </row>
    <row r="16">
      <c r="A16" s="29" t="inlineStr">
        <is>
          <t>AUXÍLIO GERÊNCIA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Conforme acordo da loja.</t>
        </is>
      </c>
    </row>
    <row r="17">
      <c r="A17" s="29" t="inlineStr">
        <is>
          <t>ADICIONAL PRÊMIO META CAIXA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Conforme apuração do caixa.</t>
        </is>
      </c>
    </row>
    <row r="18">
      <c r="A18" s="29" t="inlineStr">
        <is>
          <t>PRÊMIO COTA GERAL / BONIFICAÇÃO</t>
        </is>
      </c>
      <c r="B18" s="30" t="n"/>
      <c r="C18" s="30" t="n">
        <v>200</v>
      </c>
      <c r="D18" s="30" t="n">
        <v>100</v>
      </c>
      <c r="E18" s="30" t="n">
        <v>100</v>
      </c>
      <c r="F18" s="30" t="n">
        <v>100</v>
      </c>
      <c r="G18" s="31">
        <f>SUM(B18:F18)</f>
        <v/>
      </c>
      <c r="H18" s="32" t="inlineStr">
        <is>
          <t>Rubrica 011 (Bonificação/Prêmios) do holerite da Betel — já engloba cota geral e pré-vencidos. Lançar já com a redução combinada pela comissão dobrada.</t>
        </is>
      </c>
    </row>
    <row r="19">
      <c r="A19" s="29" t="inlineStr">
        <is>
          <t>PRÊMIO PRÉ-VENCIDOS</t>
        </is>
      </c>
      <c r="B19" s="34" t="n"/>
      <c r="C19" s="34" t="n"/>
      <c r="D19" s="34" t="n"/>
      <c r="E19" s="34" t="n"/>
      <c r="F19" s="34" t="n"/>
      <c r="G19" s="20">
        <f>SUM(B19:F19)</f>
        <v/>
      </c>
      <c r="H19" s="32" t="inlineStr">
        <is>
          <t>Vem somado na linha acima, na rubrica 011 do holerite.</t>
        </is>
      </c>
    </row>
    <row r="20">
      <c r="A20" s="29" t="inlineStr">
        <is>
          <t>FÉRIAS (DIAS GOZADOS)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>
        <is>
          <t>PREENCHER se houve férias no mês; informar o período.</t>
        </is>
      </c>
    </row>
    <row r="21">
      <c r="A21" s="29" t="inlineStr">
        <is>
          <t>1/3 CONSTITUCIONAL DE FÉRIAS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>
        <is>
          <t>Calculado pela contabilidade sobre o valor das férias.</t>
        </is>
      </c>
    </row>
    <row r="22">
      <c r="A22" s="29" t="inlineStr">
        <is>
          <t>INCENTIVO APLICAÇÕES</t>
        </is>
      </c>
      <c r="B22" s="33">
        <f>'BASE INOVAFARMA AGO.26'!G5</f>
        <v/>
      </c>
      <c r="C22" s="33">
        <f>'BASE INOVAFARMA AGO.26'!G6</f>
        <v/>
      </c>
      <c r="D22" s="33">
        <f>'BASE INOVAFARMA AGO.26'!G7</f>
        <v/>
      </c>
      <c r="E22" s="33">
        <f>'BASE INOVAFARMA AGO.26'!G8</f>
        <v/>
      </c>
      <c r="F22" s="33">
        <f>'BASE INOVAFARMA AGO.26'!G9</f>
        <v/>
      </c>
      <c r="G22" s="20">
        <f>SUM(B22:F22)</f>
        <v/>
      </c>
      <c r="H22" s="32" t="inlineStr">
        <is>
          <t>Incentivo de injetáveis apurado no InovaFarma. Incentivo é simples: NÃO entra em dobro.</t>
        </is>
      </c>
    </row>
    <row r="23">
      <c r="A23" s="29" t="inlineStr">
        <is>
          <t>INCENTIVO VITAMINAS</t>
        </is>
      </c>
      <c r="B23" s="33">
        <f>'BASE INOVAFARMA AGO.26'!H5</f>
        <v/>
      </c>
      <c r="C23" s="33">
        <f>'BASE INOVAFARMA AGO.26'!H6</f>
        <v/>
      </c>
      <c r="D23" s="33">
        <f>'BASE INOVAFARMA AGO.26'!H7</f>
        <v/>
      </c>
      <c r="E23" s="33">
        <f>'BASE INOVAFARMA AGO.26'!H8</f>
        <v/>
      </c>
      <c r="F23" s="33">
        <f>'BASE INOVAFARMA AGO.26'!H9</f>
        <v/>
      </c>
      <c r="G23" s="20">
        <f>SUM(B23:F23)</f>
        <v/>
      </c>
      <c r="H23" s="32" t="inlineStr">
        <is>
          <t>Grupo APLICAÇÃO E VITAMINAS INCENTIVO no InovaFarma.</t>
        </is>
      </c>
    </row>
    <row r="24">
      <c r="A24" s="29" t="inlineStr">
        <is>
          <t>OUTROS INCENTIVOS</t>
        </is>
      </c>
      <c r="B24" s="33">
        <f>'BASE INOVAFARMA AGO.26'!I5</f>
        <v/>
      </c>
      <c r="C24" s="33">
        <f>'BASE INOVAFARMA AGO.26'!I6</f>
        <v/>
      </c>
      <c r="D24" s="33">
        <f>'BASE INOVAFARMA AGO.26'!I7</f>
        <v/>
      </c>
      <c r="E24" s="33">
        <f>'BASE INOVAFARMA AGO.26'!I8</f>
        <v/>
      </c>
      <c r="F24" s="33">
        <f>'BASE INOVAFARMA AGO.26'!I9</f>
        <v/>
      </c>
      <c r="G24" s="20">
        <f>SUM(B24:F24)</f>
        <v/>
      </c>
      <c r="H24" s="32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SUM(B25:F25)</f>
        <v/>
      </c>
      <c r="H25" s="32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8" t="n"/>
      <c r="C26" s="28" t="n"/>
      <c r="D26" s="28" t="n"/>
      <c r="E26" s="28" t="n"/>
      <c r="F26" s="28" t="n"/>
      <c r="G26" s="28" t="n"/>
      <c r="H26" s="28" t="n"/>
    </row>
    <row r="27">
      <c r="A27" s="29" t="inlineStr">
        <is>
          <t>ADIANTAMENTO SALARIAL / VALES</t>
        </is>
      </c>
      <c r="B27" s="30" t="n">
        <v>-810</v>
      </c>
      <c r="C27" s="30" t="n">
        <v>-465</v>
      </c>
      <c r="D27" s="30" t="n">
        <v>-580</v>
      </c>
      <c r="E27" s="30" t="n"/>
      <c r="F27" s="30" t="n"/>
      <c r="G27" s="31">
        <f>SUM(B27:F27)</f>
        <v/>
      </c>
      <c r="H27" s="32" t="inlineStr">
        <is>
          <t>Rubrica 630 (Desconto - verbas / Adiantamento) do holerite da Betel.</t>
        </is>
      </c>
    </row>
    <row r="28">
      <c r="A28" s="29" t="inlineStr">
        <is>
          <t>ADIANT. VALES INCENT. E APLIC.</t>
        </is>
      </c>
      <c r="B28" s="38">
        <f>-(B22+B23+B24)</f>
        <v/>
      </c>
      <c r="C28" s="38">
        <f>-(C22+C23+C24)</f>
        <v/>
      </c>
      <c r="D28" s="38">
        <f>-(D22+D23+D24)</f>
        <v/>
      </c>
      <c r="E28" s="38">
        <f>-(E22+E23+E24)</f>
        <v/>
      </c>
      <c r="F28" s="38">
        <f>-(F22+F23+F24)</f>
        <v/>
      </c>
      <c r="G28" s="31">
        <f>SUM(B28:F28)</f>
        <v/>
      </c>
      <c r="H28" s="32" t="inlineStr">
        <is>
          <t>Estorno dos incentivos já adiantados em dinheiro no mês. AJUSTAR se algum incentivo não foi adiantado.</t>
        </is>
      </c>
    </row>
    <row r="29">
      <c r="A29" s="29" t="inlineStr">
        <is>
          <t>CONVÊNIO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PREENCHER conforme o convênio de agosto.</t>
        </is>
      </c>
    </row>
    <row r="30">
      <c r="A30" s="29" t="inlineStr">
        <is>
          <t>DESCONTO FALTAS / ATRASOS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PREENCHER conforme o ponto.</t>
        </is>
      </c>
    </row>
    <row r="31">
      <c r="A31" s="29" t="inlineStr">
        <is>
          <t>DESCONTO VALE TRANSPORTE 6%</t>
        </is>
      </c>
      <c r="B31" s="30" t="n"/>
      <c r="C31" s="30" t="n"/>
      <c r="D31" s="30" t="n"/>
      <c r="E31" s="30" t="n"/>
      <c r="F31" s="30" t="n"/>
      <c r="G31" s="31">
        <f>SUM(B31:F31)</f>
        <v/>
      </c>
      <c r="H31" s="32" t="inlineStr">
        <is>
          <t>Rubrica 604 do holerite da Betel.</t>
        </is>
      </c>
    </row>
    <row r="32">
      <c r="A32" s="29" t="inlineStr">
        <is>
          <t>DESCONTO INSS</t>
        </is>
      </c>
      <c r="B32" s="30" t="n">
        <v>-592.27</v>
      </c>
      <c r="C32" s="30" t="n">
        <v>-343.29</v>
      </c>
      <c r="D32" s="30" t="n">
        <v>-348.72</v>
      </c>
      <c r="E32" s="30" t="n">
        <v>-236.18</v>
      </c>
      <c r="F32" s="30" t="n">
        <v>-157.52</v>
      </c>
      <c r="G32" s="31">
        <f>SUM(B32:F32)</f>
        <v/>
      </c>
      <c r="H32" s="32" t="inlineStr">
        <is>
          <t>Rubrica 903 do holerite da Betel.</t>
        </is>
      </c>
    </row>
    <row r="33">
      <c r="A33" s="29" t="inlineStr">
        <is>
          <t>DESCONTO IRRF</t>
        </is>
      </c>
      <c r="B33" s="30" t="n">
        <v>-251.04</v>
      </c>
      <c r="C33" s="30" t="n"/>
      <c r="D33" s="30" t="n"/>
      <c r="E33" s="30" t="n"/>
      <c r="F33" s="30" t="n"/>
      <c r="G33" s="31">
        <f>SUM(B33:F33)</f>
        <v/>
      </c>
      <c r="H33" s="32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SUM(B34:F34)</f>
        <v/>
      </c>
      <c r="H34" s="32" t="inlineStr"/>
    </row>
    <row r="35" ht="19" customHeight="1">
      <c r="A35" s="3" t="inlineStr">
        <is>
          <t>LÍQUIDO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>
      <c r="A36" s="15" t="inlineStr">
        <is>
          <t>LÍQUIDO A RECEBER (05/09/2026)</t>
        </is>
      </c>
      <c r="B36" s="39">
        <f>B25+B34</f>
        <v/>
      </c>
      <c r="C36" s="39">
        <f>C25+C34</f>
        <v/>
      </c>
      <c r="D36" s="39">
        <f>D25+D34</f>
        <v/>
      </c>
      <c r="E36" s="39">
        <f>E25+E34</f>
        <v/>
      </c>
      <c r="F36" s="39">
        <f>F25+F34</f>
        <v/>
      </c>
      <c r="G36" s="39">
        <f>SUM(B36:F36)</f>
        <v/>
      </c>
      <c r="H36" s="32" t="inlineStr">
        <is>
          <t>Total de proventos menos descontos. Só fica definitivo depois do INSS/IRRF da contabilidade.</t>
        </is>
      </c>
    </row>
    <row r="37">
      <c r="A37" s="29" t="inlineStr">
        <is>
          <t>LÍQUIDO DO HOLERITE (BETEL)</t>
        </is>
      </c>
      <c r="B37" s="30" t="n">
        <v>3995.1</v>
      </c>
      <c r="C37" s="30" t="n">
        <v>2980.92</v>
      </c>
      <c r="D37" s="30" t="n">
        <v>2905.76</v>
      </c>
      <c r="E37" s="30" t="n">
        <v>2658.33</v>
      </c>
      <c r="F37" s="30" t="n">
        <v>1862.94</v>
      </c>
      <c r="G37" s="31">
        <f>SUM(B37:F37)</f>
        <v/>
      </c>
      <c r="H37" s="32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SUM(B38:F38)</f>
        <v/>
      </c>
      <c r="H38" s="32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8" t="n"/>
      <c r="C39" s="28" t="n"/>
      <c r="D39" s="28" t="n"/>
      <c r="E39" s="28" t="n"/>
      <c r="F39" s="28" t="n"/>
      <c r="G39" s="28" t="n"/>
      <c r="H39" s="28" t="n"/>
    </row>
    <row r="40">
      <c r="A40" s="29" t="inlineStr">
        <is>
          <t>VALE TRANSPORTE (compra set/26)</t>
        </is>
      </c>
      <c r="B40" s="34" t="n"/>
      <c r="C40" s="34" t="n"/>
      <c r="D40" s="34" t="n"/>
      <c r="E40" s="34" t="n"/>
      <c r="F40" s="34" t="n"/>
      <c r="G40" s="20">
        <f>SUM(B40:F40)</f>
        <v/>
      </c>
      <c r="H40" s="32" t="inlineStr">
        <is>
          <t>PREENCHER com as passagens compradas para setembro/2026.</t>
        </is>
      </c>
    </row>
    <row r="41">
      <c r="A41" s="29" t="inlineStr">
        <is>
          <t>VALE ALIMENTAÇÃO FERIADOS E DOMINGOS</t>
        </is>
      </c>
      <c r="B41" s="34" t="n"/>
      <c r="C41" s="34" t="n"/>
      <c r="D41" s="34" t="n"/>
      <c r="E41" s="34" t="n"/>
      <c r="F41" s="34" t="n"/>
      <c r="G41" s="20">
        <f>SUM(B41:F41)</f>
        <v/>
      </c>
      <c r="H41" s="32" t="inlineStr">
        <is>
          <t>PREENCHER conforme escala de domingos e feriados.</t>
        </is>
      </c>
    </row>
    <row r="42">
      <c r="A42" s="29" t="inlineStr">
        <is>
          <t>FÉRIAS PAGAS À PARTE (CONTAS A PAGAR)</t>
        </is>
      </c>
      <c r="B42" s="30" t="n"/>
      <c r="C42" s="30" t="n"/>
      <c r="D42" s="30" t="n"/>
      <c r="E42" s="30" t="n"/>
      <c r="F42" s="30" t="n"/>
      <c r="G42" s="31">
        <f>SUM(B42:F42)</f>
        <v/>
      </c>
      <c r="H42" s="32" t="inlineStr">
        <is>
          <t>Recibo de férias pago fora do holerite — lembrete para o contas a pagar. Não houve férias nesta loja em agosto/2026. RENALDO (Centro) e VALDICK (Trancoso) entram de férias em 01/09 — ver a folha de setembro.</t>
        </is>
      </c>
    </row>
    <row r="44">
      <c r="A44" s="21" t="inlineStr">
        <is>
          <t>LEGENDA</t>
        </is>
      </c>
      <c r="B44" s="40" t="inlineStr"/>
    </row>
    <row r="45">
      <c r="A45" s="21" t="inlineStr">
        <is>
          <t>Célula amarela, texto azul</t>
        </is>
      </c>
      <c r="B45" s="40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40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40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40" t="inlineStr">
        <is>
          <t>resultado de fórmula — não alterar.</t>
        </is>
      </c>
    </row>
  </sheetData>
  <autoFilter ref="A4:H42"/>
  <mergeCells count="7">
    <mergeCell ref="B44:H44"/>
    <mergeCell ref="A2:H2"/>
    <mergeCell ref="B47:H47"/>
    <mergeCell ref="B48:H48"/>
    <mergeCell ref="A1:H1"/>
    <mergeCell ref="B45:H45"/>
    <mergeCell ref="B46:H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9">
        <f>B16+B24</f>
        <v/>
      </c>
      <c r="C26" s="39">
        <f>C16+C24</f>
        <v/>
      </c>
      <c r="D26" s="39">
        <f>D16+D24</f>
        <v/>
      </c>
      <c r="E26" s="39">
        <f>E16+E24</f>
        <v/>
      </c>
      <c r="F26" s="39">
        <f>F16+F24</f>
        <v/>
      </c>
      <c r="G26" s="39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41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2" t="inlineStr">
        <is>
          <t>AJUSTES FEITOS NESTA REVISÃO (a planilha original continua intacta):</t>
        </is>
      </c>
    </row>
    <row r="38">
      <c r="A38" s="41" t="inlineStr">
        <is>
          <t>1. Rubricas separadas em PROVENTOS × DESCONTOS, com subtotais próprios.</t>
        </is>
      </c>
    </row>
    <row r="39">
      <c r="A39" s="41" t="inlineStr">
        <is>
          <t>2. Nomes de rubrica padronizados e coluna de observação com a origem de cada valor.</t>
        </is>
      </c>
    </row>
    <row r="40">
      <c r="A40" s="41" t="inlineStr">
        <is>
          <t>3. Conferência do DSR: em julho foi usado o fator de agosto (5/26) em vez de 4/27.</t>
        </is>
      </c>
    </row>
    <row r="41">
      <c r="A41" s="41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3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3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3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3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3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AGO.26'!B16</f>
        <v/>
      </c>
      <c r="E10" s="43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AGO.26'!B17</f>
        <v/>
      </c>
      <c r="E11" s="43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AGO.26'!B18</f>
        <v/>
      </c>
      <c r="E12" s="43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AGO.26'!B19</f>
        <v/>
      </c>
      <c r="E13" s="43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AGO.26'!B20</f>
        <v/>
      </c>
      <c r="E14" s="43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AGO.26'!B21</f>
        <v/>
      </c>
      <c r="E15" s="43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AGO.26'!B22</f>
        <v/>
      </c>
      <c r="E16" s="43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AGO.26'!B23</f>
        <v/>
      </c>
      <c r="E17" s="43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AGO.26'!B24</f>
        <v/>
      </c>
      <c r="E18" s="43" t="n"/>
    </row>
    <row r="19">
      <c r="A19" s="44" t="inlineStr">
        <is>
          <t>UILLIAN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29" t="inlineStr">
        <is>
          <t>UILLIAN</t>
        </is>
      </c>
      <c r="B20" s="29" t="inlineStr">
        <is>
          <t>ADIANTAMENTO SALARIAL / VALES</t>
        </is>
      </c>
      <c r="C20" s="29" t="inlineStr">
        <is>
          <t>Desconto</t>
        </is>
      </c>
      <c r="D20" s="33">
        <f>'HOLERITE AGO.26'!B27</f>
        <v/>
      </c>
      <c r="E20" s="43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AGO.26'!B28</f>
        <v/>
      </c>
      <c r="E21" s="43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AGO.26'!B29</f>
        <v/>
      </c>
      <c r="E22" s="43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AGO.26'!B30</f>
        <v/>
      </c>
      <c r="E23" s="43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AGO.26'!B31</f>
        <v/>
      </c>
      <c r="E24" s="43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AGO.26'!B32</f>
        <v/>
      </c>
      <c r="E25" s="43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AGO.26'!B33</f>
        <v/>
      </c>
      <c r="E26" s="43" t="n"/>
    </row>
    <row r="27">
      <c r="A27" s="44" t="inlineStr">
        <is>
          <t>UILLIAN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UILLIAN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3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3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3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3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3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AGO.26'!C16</f>
        <v/>
      </c>
      <c r="E35" s="43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AGO.26'!C17</f>
        <v/>
      </c>
      <c r="E36" s="43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AGO.26'!C18</f>
        <v/>
      </c>
      <c r="E37" s="43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AGO.26'!C19</f>
        <v/>
      </c>
      <c r="E38" s="43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AGO.26'!C20</f>
        <v/>
      </c>
      <c r="E39" s="43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AGO.26'!C21</f>
        <v/>
      </c>
      <c r="E40" s="43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AGO.26'!C22</f>
        <v/>
      </c>
      <c r="E41" s="43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AGO.26'!C23</f>
        <v/>
      </c>
      <c r="E42" s="43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AGO.26'!C24</f>
        <v/>
      </c>
      <c r="E43" s="43" t="n"/>
    </row>
    <row r="44">
      <c r="A44" s="44" t="inlineStr">
        <is>
          <t>MANOEL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29" t="inlineStr">
        <is>
          <t>MANOEL</t>
        </is>
      </c>
      <c r="B45" s="29" t="inlineStr">
        <is>
          <t>ADIANTAMENTO SALARIAL / VALES</t>
        </is>
      </c>
      <c r="C45" s="29" t="inlineStr">
        <is>
          <t>Desconto</t>
        </is>
      </c>
      <c r="D45" s="33">
        <f>'HOLERITE AGO.26'!C27</f>
        <v/>
      </c>
      <c r="E45" s="43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AGO.26'!C28</f>
        <v/>
      </c>
      <c r="E46" s="43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AGO.26'!C29</f>
        <v/>
      </c>
      <c r="E47" s="43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AGO.26'!C30</f>
        <v/>
      </c>
      <c r="E48" s="43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AGO.26'!C31</f>
        <v/>
      </c>
      <c r="E49" s="43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AGO.26'!C32</f>
        <v/>
      </c>
      <c r="E50" s="43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AGO.26'!C33</f>
        <v/>
      </c>
      <c r="E51" s="43" t="n"/>
    </row>
    <row r="52">
      <c r="A52" s="44" t="inlineStr">
        <is>
          <t>MANOEL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MANOEL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3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3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3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3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3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AGO.26'!D16</f>
        <v/>
      </c>
      <c r="E60" s="43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AGO.26'!D17</f>
        <v/>
      </c>
      <c r="E61" s="43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AGO.26'!D18</f>
        <v/>
      </c>
      <c r="E62" s="43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AGO.26'!D19</f>
        <v/>
      </c>
      <c r="E63" s="43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AGO.26'!D20</f>
        <v/>
      </c>
      <c r="E64" s="43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AGO.26'!D21</f>
        <v/>
      </c>
      <c r="E65" s="43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AGO.26'!D22</f>
        <v/>
      </c>
      <c r="E66" s="43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AGO.26'!D23</f>
        <v/>
      </c>
      <c r="E67" s="43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AGO.26'!D24</f>
        <v/>
      </c>
      <c r="E68" s="43" t="n"/>
    </row>
    <row r="69">
      <c r="A69" s="44" t="inlineStr">
        <is>
          <t>VALDICK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29" t="inlineStr">
        <is>
          <t>VALDICK</t>
        </is>
      </c>
      <c r="B70" s="29" t="inlineStr">
        <is>
          <t>ADIANTAMENTO SALARIAL / VALES</t>
        </is>
      </c>
      <c r="C70" s="29" t="inlineStr">
        <is>
          <t>Desconto</t>
        </is>
      </c>
      <c r="D70" s="33">
        <f>'HOLERITE AGO.26'!D27</f>
        <v/>
      </c>
      <c r="E70" s="43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AGO.26'!D28</f>
        <v/>
      </c>
      <c r="E71" s="43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AGO.26'!D29</f>
        <v/>
      </c>
      <c r="E72" s="43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AGO.26'!D30</f>
        <v/>
      </c>
      <c r="E73" s="43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AGO.26'!D31</f>
        <v/>
      </c>
      <c r="E74" s="43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AGO.26'!D32</f>
        <v/>
      </c>
      <c r="E75" s="43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AGO.26'!D33</f>
        <v/>
      </c>
      <c r="E76" s="43" t="n"/>
    </row>
    <row r="77">
      <c r="A77" s="44" t="inlineStr">
        <is>
          <t>VALDICK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VALDICK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3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3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3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3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3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AGO.26'!E16</f>
        <v/>
      </c>
      <c r="E85" s="43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AGO.26'!E17</f>
        <v/>
      </c>
      <c r="E86" s="43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AGO.26'!E18</f>
        <v/>
      </c>
      <c r="E87" s="43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AGO.26'!E19</f>
        <v/>
      </c>
      <c r="E88" s="43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AGO.26'!E20</f>
        <v/>
      </c>
      <c r="E89" s="43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AGO.26'!E21</f>
        <v/>
      </c>
      <c r="E90" s="43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AGO.26'!E22</f>
        <v/>
      </c>
      <c r="E91" s="43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AGO.26'!E23</f>
        <v/>
      </c>
      <c r="E92" s="43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AGO.26'!E24</f>
        <v/>
      </c>
      <c r="E93" s="43" t="n"/>
    </row>
    <row r="94">
      <c r="A94" s="44" t="inlineStr">
        <is>
          <t>INIURLE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29" t="inlineStr">
        <is>
          <t>INIURLE</t>
        </is>
      </c>
      <c r="B95" s="29" t="inlineStr">
        <is>
          <t>ADIANTAMENTO SALARIAL / VALES</t>
        </is>
      </c>
      <c r="C95" s="29" t="inlineStr">
        <is>
          <t>Desconto</t>
        </is>
      </c>
      <c r="D95" s="33">
        <f>'HOLERITE AGO.26'!E27</f>
        <v/>
      </c>
      <c r="E95" s="43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AGO.26'!E28</f>
        <v/>
      </c>
      <c r="E96" s="43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AGO.26'!E29</f>
        <v/>
      </c>
      <c r="E97" s="43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AGO.26'!E30</f>
        <v/>
      </c>
      <c r="E98" s="43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AGO.26'!E31</f>
        <v/>
      </c>
      <c r="E99" s="43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AGO.26'!E32</f>
        <v/>
      </c>
      <c r="E100" s="43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AGO.26'!E33</f>
        <v/>
      </c>
      <c r="E101" s="43" t="n"/>
    </row>
    <row r="102">
      <c r="A102" s="44" t="inlineStr">
        <is>
          <t>INIURLE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INIURLE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3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3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3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3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3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AGO.26'!F16</f>
        <v/>
      </c>
      <c r="E110" s="43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AGO.26'!F17</f>
        <v/>
      </c>
      <c r="E111" s="43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AGO.26'!F18</f>
        <v/>
      </c>
      <c r="E112" s="43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AGO.26'!F19</f>
        <v/>
      </c>
      <c r="E113" s="43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AGO.26'!F20</f>
        <v/>
      </c>
      <c r="E114" s="43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AGO.26'!F21</f>
        <v/>
      </c>
      <c r="E115" s="43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AGO.26'!F22</f>
        <v/>
      </c>
      <c r="E116" s="43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AGO.26'!F23</f>
        <v/>
      </c>
      <c r="E117" s="43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AGO.26'!F24</f>
        <v/>
      </c>
      <c r="E118" s="43" t="n"/>
    </row>
    <row r="119">
      <c r="A119" s="44" t="inlineStr">
        <is>
          <t>TAMILES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29" t="inlineStr">
        <is>
          <t>TAMILES</t>
        </is>
      </c>
      <c r="B120" s="29" t="inlineStr">
        <is>
          <t>ADIANTAMENTO SALARIAL / VALES</t>
        </is>
      </c>
      <c r="C120" s="29" t="inlineStr">
        <is>
          <t>Desconto</t>
        </is>
      </c>
      <c r="D120" s="33">
        <f>'HOLERITE AGO.26'!F27</f>
        <v/>
      </c>
      <c r="E120" s="43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AGO.26'!F28</f>
        <v/>
      </c>
      <c r="E121" s="43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AGO.26'!F29</f>
        <v/>
      </c>
      <c r="E122" s="43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AGO.26'!F30</f>
        <v/>
      </c>
      <c r="E123" s="43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AGO.26'!F31</f>
        <v/>
      </c>
      <c r="E124" s="43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AGO.26'!F32</f>
        <v/>
      </c>
      <c r="E125" s="43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AGO.26'!F33</f>
        <v/>
      </c>
      <c r="E126" s="43" t="n"/>
    </row>
    <row r="127">
      <c r="A127" s="44" t="inlineStr">
        <is>
          <t>TAMILES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TAMILES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UILLIAN</t>
        </is>
      </c>
      <c r="D4" s="40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AGO.26'!$B$16:$F$16,1,MATCH($C$4,'HOLERITE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AGO.26'!$B$17:$F$17,1,MATCH($C$4,'HOLERITE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AGO.26'!$B$18:$F$18,1,MATCH($C$4,'HOLERITE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AGO.26'!$B$19:$F$19,1,MATCH($C$4,'HOLERITE AGO.26'!$B$4:$F$4,0)),0)</f>
        <v/>
      </c>
    </row>
    <row r="16">
      <c r="B16" s="29" t="inlineStr">
        <is>
          <t>Férias</t>
        </is>
      </c>
      <c r="C16" s="33">
        <f>IFERROR(INDEX('HOLERITE AGO.26'!$B$20:$F$20,1,MATCH($C$4,'HOLERITE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AGO.26'!$B$21:$F$21,1,MATCH($C$4,'HOLERITE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AGO.26'!$B$22:$F$22,1,MATCH($C$4,'HOLERITE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AGO.26'!$B$23:$F$23,1,MATCH($C$4,'HOLERITE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AGO.26'!$B$24:$F$24,1,MATCH($C$4,'HOLERITE AGO.26'!$B$4:$F$4,0)),0)</f>
        <v/>
      </c>
    </row>
    <row r="21">
      <c r="B21" s="19" t="inlineStr">
        <is>
          <t>TOTAL DE PROVENTOS</t>
        </is>
      </c>
      <c r="C21" s="45">
        <f>IFERROR(INDEX('HOLERITE AGO.26'!$B$25:$F$25,1,MATCH($C$4,'HOLERITE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salarial / vales</t>
        </is>
      </c>
      <c r="C23" s="33">
        <f>IFERROR(INDEX('HOLERITE AGO.26'!$B$27:$F$27,1,MATCH($C$4,'HOLERITE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AGO.26'!$B$28:$F$28,1,MATCH($C$4,'HOLERITE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AGO.26'!$B$29:$F$29,1,MATCH($C$4,'HOLERITE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AGO.26'!$B$30:$F$30,1,MATCH($C$4,'HOLERITE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AGO.26'!$B$31:$F$31,1,MATCH($C$4,'HOLERITE AGO.26'!$B$4:$F$4,0)),0)</f>
        <v/>
      </c>
    </row>
    <row r="28">
      <c r="B28" s="29" t="inlineStr">
        <is>
          <t>INSS</t>
        </is>
      </c>
      <c r="C28" s="33">
        <f>IFERROR(INDEX('HOLERITE AGO.26'!$B$32:$F$32,1,MATCH($C$4,'HOLERITE AGO.26'!$B$4:$F$4,0)),0)</f>
        <v/>
      </c>
    </row>
    <row r="29">
      <c r="B29" s="29" t="inlineStr">
        <is>
          <t>IRRF</t>
        </is>
      </c>
      <c r="C29" s="33">
        <f>IFERROR(INDEX('HOLERITE AGO.26'!$B$33:$F$33,1,MATCH($C$4,'HOLERITE AGO.26'!$B$4:$F$4,0)),0)</f>
        <v/>
      </c>
    </row>
    <row r="30">
      <c r="B30" s="19" t="inlineStr">
        <is>
          <t>TOTAL DE DESCONTOS</t>
        </is>
      </c>
      <c r="C30" s="45">
        <f>IFERROR(INDEX('HOLERITE AGO.26'!$B$34:$F$34,1,MATCH($C$4,'HOLERITE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2" t="inlineStr">
        <is>
          <t>LÍQUIDO A RECEBER EM 05/09/2026</t>
        </is>
      </c>
      <c r="C32" s="53">
        <f>IFERROR(INDEX('HOLERITE AGO.26'!$B$36:$F$36,1,MATCH($C$4,'HOLERITE AGO.26'!$B$4:$F$4,0)),0)</f>
        <v/>
      </c>
    </row>
    <row r="34">
      <c r="B34" s="54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40" t="inlineStr">
        <is>
          <t>A comissão apurada acima é a do sistema. O que entra na folha é a linha "Comissão sobre vendas".</t>
        </is>
      </c>
    </row>
    <row r="42">
      <c r="B42" s="40" t="inlineStr">
        <is>
          <t>Nesta loja a comissão paga é o DOBRO da apurada — por isso os dois valores são diferentes.</t>
        </is>
      </c>
    </row>
    <row r="43">
      <c r="B43" s="40" t="inlineStr">
        <is>
          <t>Os valores de INSS e IRRF são calculados pela contabilidade e só aparecem depois de preenchidos na aba HOLERITE AGO.26.</t>
        </is>
      </c>
    </row>
    <row r="44">
      <c r="B44" s="40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16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5" t="inlineStr">
        <is>
          <t>HORAS EXTRAS</t>
        </is>
      </c>
      <c r="I5" s="32" t="inlineStr">
        <is>
          <t>16 horas extras a 50% em agosto/2026.</t>
        </is>
      </c>
    </row>
    <row r="6">
      <c r="A6" s="15" t="inlineStr">
        <is>
          <t>INIURLE</t>
        </is>
      </c>
      <c r="B6" s="29" t="inlineStr">
        <is>
          <t>Horas extras 100%</t>
        </is>
      </c>
      <c r="C6" s="8" t="n">
        <v>24</v>
      </c>
      <c r="D6" s="14" t="inlineStr">
        <is>
          <t>horas</t>
        </is>
      </c>
      <c r="E6" s="33">
        <f>IFERROR(INDEX('HOLERITE AGO.26'!$B$6:$F$6,1,MATCH(A6,'HOLERITE AGO.26'!$B$4:$F$4,0)),0)</f>
        <v/>
      </c>
      <c r="F6" s="35">
        <f>ROUND(E6/PARÂMETROS!$B$16*(1+PARÂMETROS!$B$18),4)</f>
        <v/>
      </c>
      <c r="G6" s="20">
        <f>ROUND(C6*F6,2)</f>
        <v/>
      </c>
      <c r="H6" s="55" t="inlineStr">
        <is>
          <t>HORAS EXTRAS</t>
        </is>
      </c>
      <c r="I6" s="32" t="inlineStr">
        <is>
          <t>24 horas extras a 100% em agosto/2026 (antes lançadas como 40 h a 50%).</t>
        </is>
      </c>
    </row>
    <row r="7">
      <c r="A7" s="56" t="n"/>
      <c r="B7" s="56" t="n"/>
      <c r="C7" s="56" t="n"/>
      <c r="D7" s="56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6" t="n"/>
      <c r="I7" s="56" t="n"/>
    </row>
    <row r="8">
      <c r="A8" s="56" t="n"/>
      <c r="B8" s="56" t="n"/>
      <c r="C8" s="56" t="n"/>
      <c r="D8" s="56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6" t="n"/>
      <c r="I8" s="56" t="n"/>
    </row>
    <row r="9">
      <c r="A9" s="56" t="n"/>
      <c r="B9" s="56" t="n"/>
      <c r="C9" s="56" t="n"/>
      <c r="D9" s="56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6" t="n"/>
      <c r="I9" s="56" t="n"/>
    </row>
    <row r="10">
      <c r="A10" s="56" t="n"/>
      <c r="B10" s="56" t="n"/>
      <c r="C10" s="56" t="n"/>
      <c r="D10" s="56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6" t="n"/>
      <c r="I10" s="56" t="n"/>
    </row>
    <row r="11">
      <c r="A11" s="56" t="n"/>
      <c r="B11" s="56" t="n"/>
      <c r="C11" s="56" t="n"/>
      <c r="D11" s="56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6" t="n"/>
      <c r="I11" s="56" t="n"/>
    </row>
    <row r="12">
      <c r="A12" s="56" t="n"/>
      <c r="B12" s="56" t="n"/>
      <c r="C12" s="56" t="n"/>
      <c r="D12" s="56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6" t="n"/>
      <c r="I12" s="56" t="n"/>
    </row>
    <row r="13">
      <c r="A13" s="56" t="n"/>
      <c r="B13" s="56" t="n"/>
      <c r="C13" s="56" t="n"/>
      <c r="D13" s="56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6" t="n"/>
      <c r="I13" s="56" t="n"/>
    </row>
    <row r="14">
      <c r="A14" s="56" t="n"/>
      <c r="B14" s="56" t="n"/>
      <c r="C14" s="56" t="n"/>
      <c r="D14" s="56" t="n"/>
      <c r="E14" s="33">
        <f>IFERROR(INDEX('HOLERITE AGO.26'!$B$6:$F$6,1,MATCH(A14,'HOLERITE AGO.26'!$B$4:$F$4,0)),0)</f>
        <v/>
      </c>
      <c r="F14" s="34" t="n"/>
      <c r="G14" s="20">
        <f>ROUND(C14*F14,2)</f>
        <v/>
      </c>
      <c r="H14" s="56" t="n"/>
      <c r="I14" s="56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AGO.26.</t>
        </is>
      </c>
    </row>
    <row r="22" ht="19" customHeight="1">
      <c r="A22" s="3" t="inlineStr">
        <is>
          <t>OCORRÊNCIAS PARA A PRÓXIMA COMPETÊNCIA (SETEMBRO/2026) — NÃO ENTRAM NESTA FOLHA</t>
        </is>
      </c>
      <c r="B22" s="28" t="n"/>
      <c r="C22" s="28" t="n"/>
      <c r="D22" s="28" t="n"/>
      <c r="E22" s="28" t="n"/>
      <c r="F22" s="28" t="n"/>
      <c r="G22" s="28" t="n"/>
      <c r="H22" s="28" t="n"/>
      <c r="I22" s="28" t="n"/>
    </row>
    <row r="23">
      <c r="A23" s="15" t="inlineStr">
        <is>
          <t>TAMILES</t>
        </is>
      </c>
      <c r="B23" s="57" t="inlineStr">
        <is>
          <t>Atestado médico de 7 dias, entregue em 02/09/2026 — cobre de 02/09 a 08/09/2026.</t>
        </is>
      </c>
    </row>
    <row r="24" ht="30" customHeight="1">
      <c r="B24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4"/>
  <mergeCells count="8">
    <mergeCell ref="A19:I19"/>
    <mergeCell ref="A2:I2"/>
    <mergeCell ref="B24:I24"/>
    <mergeCell ref="A1:I1"/>
    <mergeCell ref="A17:I17"/>
    <mergeCell ref="A18:I18"/>
    <mergeCell ref="B23:I23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2026-10-02T21:37:56Z</dcterms:created>
  <dcterms:modified xsi:type="dcterms:W3CDTF">2026-10-02T21:37:56Z</dcterms:modified>
</cp:coreProperties>
</file>