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AGO.26'!$A$4:$H$36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Em julho/2026 a comissão foi lançada por média. Com a comissão dobrada a partir de agosto, a empresa vai reduzir nas premiações a diferença.</t>
        </is>
      </c>
    </row>
    <row r="25" ht="17" customHeight="1">
      <c r="A25" s="4" t="inlineStr"/>
      <c r="B25" s="5" t="inlineStr">
        <is>
          <t>UILLIAN: não recebe comissão sobre vendas (mesmo critério de julho/2026) — a rubrica fica zerada e o apurado dele aparece só na aba BASE.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agosto — lançar na aba PONTO AGO.26.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TAMILES: atestado de 02/09 a 08/09/2026 — lançar na folha de SETEMBRO como falta justificada (abonada), sem desconto. Não entra nesta folha de agosto.</t>
        </is>
      </c>
    </row>
    <row r="32" ht="17" customHeight="1">
      <c r="A32" s="4" t="inlineStr">
        <is>
          <t>•</t>
        </is>
      </c>
      <c r="B32" s="6" t="inlineStr">
        <is>
          <t>Lançar na linha PRÊMIO COTA GERAL o valor já com a redução combinada, para compensar o aumento da comissão dobrada.</t>
        </is>
      </c>
    </row>
    <row r="33" ht="17" customHeight="1">
      <c r="A33" s="4" t="inlineStr">
        <is>
          <t>•</t>
        </is>
      </c>
      <c r="B33" s="6" t="inlineStr">
        <is>
          <t>UILLIAN também registra vendas no relatório da loja Centro — conferir se alguma comissão deve ser rateada entre as lojas.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AGO.26 — apuração de comissões e incentivos por vendedor.</t>
        </is>
      </c>
    </row>
    <row r="41" ht="17" customHeight="1">
      <c r="A41" s="4" t="inlineStr"/>
      <c r="B41" s="5" t="inlineStr">
        <is>
          <t>JULHO.26 REVISADO — a folha de julho (TRANCOSO JULHO) reorganizada e conferida.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AGO.26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>
        <f> (comissão total + horas extras) × 5 domingos ÷ 26 dias úteis de agosto/2026.</f>
        <v/>
      </c>
    </row>
    <row r="13">
      <c r="A13" s="29" t="inlineStr">
        <is>
          <t>AUXÍLIO GERÊNCIA</t>
        </is>
      </c>
      <c r="B13" s="34" t="n"/>
      <c r="C13" s="34" t="n"/>
      <c r="D13" s="34" t="n"/>
      <c r="E13" s="34" t="n"/>
      <c r="F13" s="34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9" t="inlineStr">
        <is>
          <t>PRÊMIO PRÉ-VENCIDOS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3">
        <f>'BASE INOVAFARMA AGO.26'!G5</f>
        <v/>
      </c>
      <c r="C19" s="33">
        <f>'BASE INOVAFARMA AGO.26'!G6</f>
        <v/>
      </c>
      <c r="D19" s="33">
        <f>'BASE INOVAFARMA AGO.26'!G7</f>
        <v/>
      </c>
      <c r="E19" s="33">
        <f>'BASE INOVAFARMA AGO.26'!G8</f>
        <v/>
      </c>
      <c r="F19" s="33">
        <f>'BASE INOVAFARMA AGO.26'!G9</f>
        <v/>
      </c>
      <c r="G19" s="20">
        <f>SUM(B19:F19)</f>
        <v/>
      </c>
      <c r="H19" s="32" t="inlineStr">
        <is>
          <t>Incentivo de injetáveis apurado no InovaFarma. Incentivo é simples: NÃO entra em dobro.</t>
        </is>
      </c>
    </row>
    <row r="20">
      <c r="A20" s="29" t="inlineStr">
        <is>
          <t>INCENTIVO VITAMINAS</t>
        </is>
      </c>
      <c r="B20" s="33">
        <f>'BASE INOVAFARMA AGO.26'!H5</f>
        <v/>
      </c>
      <c r="C20" s="33">
        <f>'BASE INOVAFARMA AGO.26'!H6</f>
        <v/>
      </c>
      <c r="D20" s="33">
        <f>'BASE INOVAFARMA AGO.26'!H7</f>
        <v/>
      </c>
      <c r="E20" s="33">
        <f>'BASE INOVAFARMA AGO.26'!H8</f>
        <v/>
      </c>
      <c r="F20" s="33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3">
        <f>'BASE INOVAFARMA AGO.26'!I5</f>
        <v/>
      </c>
      <c r="C21" s="33">
        <f>'BASE INOVAFARMA AGO.26'!I6</f>
        <v/>
      </c>
      <c r="D21" s="33">
        <f>'BASE INOVAFARMA AGO.26'!I7</f>
        <v/>
      </c>
      <c r="E21" s="33">
        <f>'BASE INOVAFARMA AGO.26'!I8</f>
        <v/>
      </c>
      <c r="F21" s="33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/ VALES</t>
        </is>
      </c>
      <c r="B24" s="34" t="n"/>
      <c r="C24" s="34" t="n"/>
      <c r="D24" s="34" t="n"/>
      <c r="E24" s="34" t="n"/>
      <c r="F24" s="34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4" t="n"/>
      <c r="C26" s="34" t="n"/>
      <c r="D26" s="34" t="n"/>
      <c r="E26" s="34" t="n"/>
      <c r="F26" s="34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4" t="n"/>
      <c r="C27" s="34" t="n"/>
      <c r="D27" s="34" t="n"/>
      <c r="E27" s="34" t="n"/>
      <c r="F27" s="34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</t>
        </is>
      </c>
    </row>
    <row r="29">
      <c r="A29" s="29" t="inlineStr">
        <is>
          <t>DESCONTO INSS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20">
        <f>SUM(B36:F36)</f>
        <v/>
      </c>
      <c r="H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39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0" t="inlineStr">
        <is>
          <t>AJUSTES FEITOS NESTA REVISÃO (a planilha original continua intacta):</t>
        </is>
      </c>
    </row>
    <row r="38">
      <c r="A38" s="39" t="inlineStr">
        <is>
          <t>1. Rubricas separadas em PROVENTOS × DESCONTOS, com subtotais próprios.</t>
        </is>
      </c>
    </row>
    <row r="39">
      <c r="A39" s="39" t="inlineStr">
        <is>
          <t>2. Nomes de rubrica padronizados e coluna de observação com a origem de cada valor.</t>
        </is>
      </c>
    </row>
    <row r="40">
      <c r="A40" s="39" t="inlineStr">
        <is>
          <t>3. Conferência do DSR: em julho foi usado o fator de agosto (5/26) em vez de 4/27.</t>
        </is>
      </c>
    </row>
    <row r="41">
      <c r="A41" s="39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1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1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1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1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1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AGO.26'!B13</f>
        <v/>
      </c>
      <c r="E10" s="41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AGO.26'!B14</f>
        <v/>
      </c>
      <c r="E11" s="41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AGO.26'!B15</f>
        <v/>
      </c>
      <c r="E12" s="41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AGO.26'!B16</f>
        <v/>
      </c>
      <c r="E13" s="41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AGO.26'!B17</f>
        <v/>
      </c>
      <c r="E14" s="41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AGO.26'!B18</f>
        <v/>
      </c>
      <c r="E15" s="41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AGO.26'!B19</f>
        <v/>
      </c>
      <c r="E16" s="41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AGO.26'!B20</f>
        <v/>
      </c>
      <c r="E17" s="41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AGO.26'!B21</f>
        <v/>
      </c>
      <c r="E18" s="41" t="n"/>
    </row>
    <row r="19">
      <c r="A19" s="42" t="inlineStr">
        <is>
          <t>UILLIAN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/ VALES</t>
        </is>
      </c>
      <c r="C20" s="29" t="inlineStr">
        <is>
          <t>Desconto</t>
        </is>
      </c>
      <c r="D20" s="33">
        <f>'HOLERITE AGO.26'!B24</f>
        <v/>
      </c>
      <c r="E20" s="41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AGO.26'!B25</f>
        <v/>
      </c>
      <c r="E21" s="41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AGO.26'!B26</f>
        <v/>
      </c>
      <c r="E22" s="41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AGO.26'!B27</f>
        <v/>
      </c>
      <c r="E23" s="41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AGO.26'!B28</f>
        <v/>
      </c>
      <c r="E24" s="41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AGO.26'!B29</f>
        <v/>
      </c>
      <c r="E25" s="41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AGO.26'!B30</f>
        <v/>
      </c>
      <c r="E26" s="41" t="n"/>
    </row>
    <row r="27">
      <c r="A27" s="42" t="inlineStr">
        <is>
          <t>UILLIAN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UILLIAN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1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1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1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1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1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AGO.26'!C13</f>
        <v/>
      </c>
      <c r="E35" s="41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AGO.26'!C14</f>
        <v/>
      </c>
      <c r="E36" s="41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AGO.26'!C15</f>
        <v/>
      </c>
      <c r="E37" s="41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AGO.26'!C16</f>
        <v/>
      </c>
      <c r="E38" s="41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AGO.26'!C17</f>
        <v/>
      </c>
      <c r="E39" s="41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AGO.26'!C18</f>
        <v/>
      </c>
      <c r="E40" s="41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AGO.26'!C19</f>
        <v/>
      </c>
      <c r="E41" s="41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AGO.26'!C20</f>
        <v/>
      </c>
      <c r="E42" s="41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AGO.26'!C21</f>
        <v/>
      </c>
      <c r="E43" s="41" t="n"/>
    </row>
    <row r="44">
      <c r="A44" s="42" t="inlineStr">
        <is>
          <t>MANOEL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/ VALES</t>
        </is>
      </c>
      <c r="C45" s="29" t="inlineStr">
        <is>
          <t>Desconto</t>
        </is>
      </c>
      <c r="D45" s="33">
        <f>'HOLERITE AGO.26'!C24</f>
        <v/>
      </c>
      <c r="E45" s="41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AGO.26'!C25</f>
        <v/>
      </c>
      <c r="E46" s="41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AGO.26'!C26</f>
        <v/>
      </c>
      <c r="E47" s="41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AGO.26'!C27</f>
        <v/>
      </c>
      <c r="E48" s="41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AGO.26'!C28</f>
        <v/>
      </c>
      <c r="E49" s="41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AGO.26'!C29</f>
        <v/>
      </c>
      <c r="E50" s="41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AGO.26'!C30</f>
        <v/>
      </c>
      <c r="E51" s="41" t="n"/>
    </row>
    <row r="52">
      <c r="A52" s="42" t="inlineStr">
        <is>
          <t>MANOEL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MANOEL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1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1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1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1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1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AGO.26'!D13</f>
        <v/>
      </c>
      <c r="E60" s="41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AGO.26'!D14</f>
        <v/>
      </c>
      <c r="E61" s="41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AGO.26'!D15</f>
        <v/>
      </c>
      <c r="E62" s="41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AGO.26'!D16</f>
        <v/>
      </c>
      <c r="E63" s="41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AGO.26'!D17</f>
        <v/>
      </c>
      <c r="E64" s="41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AGO.26'!D18</f>
        <v/>
      </c>
      <c r="E65" s="41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AGO.26'!D19</f>
        <v/>
      </c>
      <c r="E66" s="41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AGO.26'!D20</f>
        <v/>
      </c>
      <c r="E67" s="41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AGO.26'!D21</f>
        <v/>
      </c>
      <c r="E68" s="41" t="n"/>
    </row>
    <row r="69">
      <c r="A69" s="42" t="inlineStr">
        <is>
          <t>VALDICK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/ VALES</t>
        </is>
      </c>
      <c r="C70" s="29" t="inlineStr">
        <is>
          <t>Desconto</t>
        </is>
      </c>
      <c r="D70" s="33">
        <f>'HOLERITE AGO.26'!D24</f>
        <v/>
      </c>
      <c r="E70" s="41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AGO.26'!D25</f>
        <v/>
      </c>
      <c r="E71" s="41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AGO.26'!D26</f>
        <v/>
      </c>
      <c r="E72" s="41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AGO.26'!D27</f>
        <v/>
      </c>
      <c r="E73" s="41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AGO.26'!D28</f>
        <v/>
      </c>
      <c r="E74" s="41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AGO.26'!D29</f>
        <v/>
      </c>
      <c r="E75" s="41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AGO.26'!D30</f>
        <v/>
      </c>
      <c r="E76" s="41" t="n"/>
    </row>
    <row r="77">
      <c r="A77" s="42" t="inlineStr">
        <is>
          <t>VALDICK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VALDICK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1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1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1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1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1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AGO.26'!E13</f>
        <v/>
      </c>
      <c r="E85" s="41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AGO.26'!E14</f>
        <v/>
      </c>
      <c r="E86" s="41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AGO.26'!E15</f>
        <v/>
      </c>
      <c r="E87" s="41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AGO.26'!E16</f>
        <v/>
      </c>
      <c r="E88" s="41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AGO.26'!E17</f>
        <v/>
      </c>
      <c r="E89" s="41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AGO.26'!E18</f>
        <v/>
      </c>
      <c r="E90" s="41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AGO.26'!E19</f>
        <v/>
      </c>
      <c r="E91" s="41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AGO.26'!E20</f>
        <v/>
      </c>
      <c r="E92" s="41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AGO.26'!E21</f>
        <v/>
      </c>
      <c r="E93" s="41" t="n"/>
    </row>
    <row r="94">
      <c r="A94" s="42" t="inlineStr">
        <is>
          <t>INIURLE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/ VALES</t>
        </is>
      </c>
      <c r="C95" s="29" t="inlineStr">
        <is>
          <t>Desconto</t>
        </is>
      </c>
      <c r="D95" s="33">
        <f>'HOLERITE AGO.26'!E24</f>
        <v/>
      </c>
      <c r="E95" s="41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AGO.26'!E25</f>
        <v/>
      </c>
      <c r="E96" s="41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AGO.26'!E26</f>
        <v/>
      </c>
      <c r="E97" s="41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AGO.26'!E27</f>
        <v/>
      </c>
      <c r="E98" s="41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AGO.26'!E28</f>
        <v/>
      </c>
      <c r="E99" s="41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AGO.26'!E29</f>
        <v/>
      </c>
      <c r="E100" s="41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AGO.26'!E30</f>
        <v/>
      </c>
      <c r="E101" s="41" t="n"/>
    </row>
    <row r="102">
      <c r="A102" s="42" t="inlineStr">
        <is>
          <t>INIURLE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INIURLE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1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1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1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1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1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AGO.26'!F13</f>
        <v/>
      </c>
      <c r="E110" s="41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AGO.26'!F14</f>
        <v/>
      </c>
      <c r="E111" s="41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AGO.26'!F15</f>
        <v/>
      </c>
      <c r="E112" s="41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AGO.26'!F16</f>
        <v/>
      </c>
      <c r="E113" s="41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AGO.26'!F17</f>
        <v/>
      </c>
      <c r="E114" s="41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AGO.26'!F18</f>
        <v/>
      </c>
      <c r="E115" s="41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AGO.26'!F19</f>
        <v/>
      </c>
      <c r="E116" s="41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AGO.26'!F20</f>
        <v/>
      </c>
      <c r="E117" s="41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AGO.26'!F21</f>
        <v/>
      </c>
      <c r="E118" s="41" t="n"/>
    </row>
    <row r="119">
      <c r="A119" s="42" t="inlineStr">
        <is>
          <t>TAMILES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/ VALES</t>
        </is>
      </c>
      <c r="C120" s="29" t="inlineStr">
        <is>
          <t>Desconto</t>
        </is>
      </c>
      <c r="D120" s="33">
        <f>'HOLERITE AGO.26'!F24</f>
        <v/>
      </c>
      <c r="E120" s="41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AGO.26'!F25</f>
        <v/>
      </c>
      <c r="E121" s="41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AGO.26'!F26</f>
        <v/>
      </c>
      <c r="E122" s="41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AGO.26'!F27</f>
        <v/>
      </c>
      <c r="E123" s="41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AGO.26'!F28</f>
        <v/>
      </c>
      <c r="E124" s="41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AGO.26'!F29</f>
        <v/>
      </c>
      <c r="E125" s="41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AGO.26'!F30</f>
        <v/>
      </c>
      <c r="E126" s="41" t="n"/>
    </row>
    <row r="127">
      <c r="A127" s="42" t="inlineStr">
        <is>
          <t>TAMILES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TAMILES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3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3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3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3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3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3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AGO.26'!$B$33:$F$33,1,MATCH($C$4,'HOLERITE AGO.26'!$B$4:$F$4,0)),0)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3" t="inlineStr">
        <is>
          <t>HORAS EXTRAS</t>
        </is>
      </c>
      <c r="I5" s="32" t="inlineStr">
        <is>
          <t>40 horas extras normais em agosto/2026.</t>
        </is>
      </c>
    </row>
    <row r="6">
      <c r="A6" s="54" t="n"/>
      <c r="B6" s="54" t="n"/>
      <c r="C6" s="54" t="n"/>
      <c r="D6" s="54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4" t="n"/>
      <c r="I6" s="54" t="n"/>
    </row>
    <row r="7">
      <c r="A7" s="54" t="n"/>
      <c r="B7" s="54" t="n"/>
      <c r="C7" s="54" t="n"/>
      <c r="D7" s="54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4" t="n"/>
      <c r="I7" s="54" t="n"/>
    </row>
    <row r="8">
      <c r="A8" s="54" t="n"/>
      <c r="B8" s="54" t="n"/>
      <c r="C8" s="54" t="n"/>
      <c r="D8" s="54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4" t="n"/>
      <c r="I8" s="54" t="n"/>
    </row>
    <row r="9">
      <c r="A9" s="54" t="n"/>
      <c r="B9" s="54" t="n"/>
      <c r="C9" s="54" t="n"/>
      <c r="D9" s="54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4" t="n"/>
      <c r="I9" s="54" t="n"/>
    </row>
    <row r="10">
      <c r="A10" s="54" t="n"/>
      <c r="B10" s="54" t="n"/>
      <c r="C10" s="54" t="n"/>
      <c r="D10" s="54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4" t="n"/>
      <c r="I10" s="54" t="n"/>
    </row>
    <row r="11">
      <c r="A11" s="54" t="n"/>
      <c r="B11" s="54" t="n"/>
      <c r="C11" s="54" t="n"/>
      <c r="D11" s="54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4" t="n"/>
      <c r="I11" s="54" t="n"/>
    </row>
    <row r="12">
      <c r="A12" s="54" t="n"/>
      <c r="B12" s="54" t="n"/>
      <c r="C12" s="54" t="n"/>
      <c r="D12" s="54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4" t="n"/>
      <c r="I12" s="54" t="n"/>
    </row>
    <row r="13">
      <c r="A13" s="54" t="n"/>
      <c r="B13" s="54" t="n"/>
      <c r="C13" s="54" t="n"/>
      <c r="D13" s="54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4" t="n"/>
      <c r="I13" s="54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  <row r="21" ht="19" customHeight="1">
      <c r="A21" s="3" t="inlineStr">
        <is>
          <t>OCORRÊNCIAS PARA A PRÓXIMA COMPETÊNCIA (SETEMBRO/2026) — NÃO ENTRAM NESTA FOLHA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</row>
    <row r="22">
      <c r="A22" s="15" t="inlineStr">
        <is>
          <t>TAMILES</t>
        </is>
      </c>
      <c r="B22" s="55" t="inlineStr">
        <is>
          <t>Atestado médico de 7 dias, entregue em 02/09/2026 — cobre de 02/09 a 08/09/2026.</t>
        </is>
      </c>
    </row>
    <row r="23" ht="30" customHeight="1">
      <c r="B23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3"/>
  <mergeCells count="8">
    <mergeCell ref="A2:I2"/>
    <mergeCell ref="A19:I19"/>
    <mergeCell ref="A1:I1"/>
    <mergeCell ref="A17:I17"/>
    <mergeCell ref="A18:I18"/>
    <mergeCell ref="B22:I22"/>
    <mergeCell ref="B23:I23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2026-09-03T16:04:12Z</dcterms:created>
  <dcterms:modified xsi:type="dcterms:W3CDTF">2026-09-03T16:04:12Z</dcterms:modified>
</cp:coreProperties>
</file>