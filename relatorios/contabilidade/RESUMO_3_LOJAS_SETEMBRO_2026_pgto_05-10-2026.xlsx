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3 LOJAS AGO.26" sheetId="1" state="visible" r:id="rId1"/>
  </sheets>
  <definedNames>
    <definedName name="_xlnm._FilterDatabase" localSheetId="0" hidden="1">'RESUMO 3 LOJAS AGO.26'!$A$4:$W$29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;-R$ #,##0.00;&quot;-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864"/>
      <sz val="10"/>
    </font>
    <font>
      <name val="Arial"/>
      <b val="1"/>
      <color rgb="00FFFFFF"/>
      <sz val="9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000000"/>
      <sz val="9"/>
    </font>
    <font>
      <name val="Arial"/>
      <b val="1"/>
      <color rgb="00000000"/>
      <sz val="11"/>
    </font>
    <font>
      <name val="Arial"/>
      <b val="1"/>
      <color rgb="00000000"/>
      <sz val="9"/>
    </font>
    <font>
      <name val="Arial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4" fillId="4" borderId="0" pivotButton="0" quotePrefix="0" xfId="0"/>
    <xf numFmtId="0" fontId="0" fillId="4" borderId="0" pivotButton="0" quotePrefix="0" xfId="0"/>
    <xf numFmtId="0" fontId="5" fillId="0" borderId="1" pivotButton="0" quotePrefix="0" xfId="0"/>
    <xf numFmtId="164" fontId="6" fillId="0" borderId="1" pivotButton="0" quotePrefix="0" xfId="0"/>
    <xf numFmtId="164" fontId="6" fillId="5" borderId="1" pivotButton="0" quotePrefix="0" xfId="0"/>
    <xf numFmtId="164" fontId="5" fillId="6" borderId="1" pivotButton="0" quotePrefix="0" xfId="0"/>
    <xf numFmtId="164" fontId="7" fillId="7" borderId="1" pivotButton="0" quotePrefix="0" xfId="0"/>
    <xf numFmtId="0" fontId="8" fillId="0" borderId="1" applyAlignment="1" pivotButton="0" quotePrefix="0" xfId="0">
      <alignment vertical="center" wrapText="1"/>
    </xf>
    <xf numFmtId="0" fontId="5" fillId="5" borderId="1" pivotButton="0" quotePrefix="0" xfId="0"/>
    <xf numFmtId="164" fontId="5" fillId="5" borderId="1" pivotButton="0" quotePrefix="0" xfId="0"/>
    <xf numFmtId="0" fontId="0" fillId="5" borderId="1" pivotButton="0" quotePrefix="0" xfId="0"/>
    <xf numFmtId="0" fontId="9" fillId="6" borderId="1" pivotButton="0" quotePrefix="0" xfId="0"/>
    <xf numFmtId="164" fontId="9" fillId="6" borderId="1" pivotButton="0" quotePrefix="0" xfId="0"/>
    <xf numFmtId="0" fontId="0" fillId="6" borderId="1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1" customWidth="1" min="12" max="12"/>
    <col width="11" customWidth="1" min="13" max="13"/>
    <col width="14" customWidth="1" min="14" max="14"/>
    <col width="13" customWidth="1" min="15" max="15"/>
    <col width="15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6" customWidth="1" min="22" max="22"/>
    <col width="70" customWidth="1" min="23" max="23"/>
  </cols>
  <sheetData>
    <row r="1" ht="26" customHeight="1">
      <c r="A1" s="1" t="inlineStr">
        <is>
          <t>RESUMO PARA A CONTABILIDADE — TRÊS LOJAS</t>
        </is>
      </c>
    </row>
    <row r="2">
      <c r="A2" s="2" t="inlineStr">
        <is>
          <t>Farmácia Tropical · competência SETEMBRO/2026 (01/09 a 30/09) · pagamento em 05/10/2026 · PARCIAL: sem comissões, INSS e IRRF</t>
        </is>
      </c>
    </row>
    <row r="4" ht="30" customHeight="1">
      <c r="A4" s="3" t="inlineStr">
        <is>
          <t>FUNCIONÁRIO</t>
        </is>
      </c>
      <c r="B4" s="3" t="inlineStr">
        <is>
          <t>SALÁRIO</t>
        </is>
      </c>
      <c r="C4" s="3" t="inlineStr">
        <is>
          <t>HORAS EXTRAS</t>
        </is>
      </c>
      <c r="D4" s="3" t="inlineStr">
        <is>
          <t>AD. NOTURNO</t>
        </is>
      </c>
      <c r="E4" s="3" t="inlineStr">
        <is>
          <t>COMISSÃO</t>
        </is>
      </c>
      <c r="F4" s="3" t="inlineStr">
        <is>
          <t>DSR</t>
        </is>
      </c>
      <c r="G4" s="3" t="inlineStr">
        <is>
          <t>AUX. GERÊNCIA</t>
        </is>
      </c>
      <c r="H4" s="3" t="inlineStr">
        <is>
          <t>PRÊMIO META CX</t>
        </is>
      </c>
      <c r="I4" s="3" t="inlineStr">
        <is>
          <t>INCENTIVOS</t>
        </is>
      </c>
      <c r="J4" s="3" t="inlineStr">
        <is>
          <t>PRÊMIOS / BONIFIC.</t>
        </is>
      </c>
      <c r="K4" s="3" t="inlineStr">
        <is>
          <t>DSR S/ HORA EXTRA</t>
        </is>
      </c>
      <c r="L4" s="3" t="inlineStr">
        <is>
          <t>SAL. FAMÍLIA</t>
        </is>
      </c>
      <c r="M4" s="3" t="inlineStr">
        <is>
          <t>INSUF. SALDO</t>
        </is>
      </c>
      <c r="N4" s="3" t="inlineStr">
        <is>
          <t>TOTAL PROVENTOS</t>
        </is>
      </c>
      <c r="O4" s="3" t="inlineStr">
        <is>
          <t>ADIANT. INCENT.</t>
        </is>
      </c>
      <c r="P4" s="3" t="inlineStr">
        <is>
          <t>ADIANTAMENTO SALARIAL / VALES</t>
        </is>
      </c>
      <c r="Q4" s="3" t="inlineStr">
        <is>
          <t>VALE TRANSP.</t>
        </is>
      </c>
      <c r="R4" s="3" t="inlineStr">
        <is>
          <t>INSS</t>
        </is>
      </c>
      <c r="S4" s="3" t="inlineStr">
        <is>
          <t>IRRF</t>
        </is>
      </c>
      <c r="T4" s="3" t="inlineStr">
        <is>
          <t>TOTAL DESCONTOS</t>
        </is>
      </c>
      <c r="U4" s="3" t="inlineStr">
        <is>
          <t>LÍQUIDO PARCIAL</t>
        </is>
      </c>
      <c r="V4" s="3" t="inlineStr">
        <is>
          <t>FÉRIAS PAGAS À PARTE (contas a pagar)</t>
        </is>
      </c>
      <c r="W4" s="3" t="inlineStr">
        <is>
          <t>OBSERVAÇÃO</t>
        </is>
      </c>
    </row>
    <row r="5" ht="19" customHeight="1">
      <c r="A5" s="4" t="inlineStr">
        <is>
          <t>LOJA ARRAIAL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</row>
    <row r="6">
      <c r="A6" s="6" t="inlineStr">
        <is>
          <t>DEAN</t>
        </is>
      </c>
      <c r="B6" s="7" t="n">
        <v>5648.41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8">
        <f>SUM(B6:M6)</f>
        <v/>
      </c>
      <c r="O6" s="7" t="n">
        <v>-0</v>
      </c>
      <c r="P6" s="7" t="n">
        <v>0</v>
      </c>
      <c r="Q6" s="7" t="n">
        <v>0</v>
      </c>
      <c r="R6" s="7" t="n">
        <v>0</v>
      </c>
      <c r="S6" s="7" t="n">
        <v>0</v>
      </c>
      <c r="T6" s="8">
        <f>SUM(O6:S6)</f>
        <v/>
      </c>
      <c r="U6" s="9">
        <f>N6+T6</f>
        <v/>
      </c>
      <c r="V6" s="10" t="n"/>
      <c r="W6" s="11" t="inlineStr">
        <is>
          <t>Não recebe comissão.</t>
        </is>
      </c>
    </row>
    <row r="7">
      <c r="A7" s="6" t="inlineStr">
        <is>
          <t>AGNOR</t>
        </is>
      </c>
      <c r="B7" s="7" t="n">
        <v>1621</v>
      </c>
      <c r="C7" s="7" t="n">
        <v>0</v>
      </c>
      <c r="D7" s="7" t="n">
        <v>0</v>
      </c>
      <c r="E7" s="7" t="n">
        <v>2000</v>
      </c>
      <c r="F7" s="7" t="n">
        <v>500</v>
      </c>
      <c r="G7" s="7" t="n">
        <v>810.5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8">
        <f>SUM(B7:M7)</f>
        <v/>
      </c>
      <c r="O7" s="7" t="n">
        <v>-0</v>
      </c>
      <c r="P7" s="7" t="n">
        <v>0</v>
      </c>
      <c r="Q7" s="7" t="n">
        <v>0</v>
      </c>
      <c r="R7" s="7" t="n">
        <v>0</v>
      </c>
      <c r="S7" s="7" t="n">
        <v>0</v>
      </c>
      <c r="T7" s="8">
        <f>SUM(O7:S7)</f>
        <v/>
      </c>
      <c r="U7" s="9">
        <f>N7+T7</f>
        <v/>
      </c>
      <c r="V7" s="10" t="n"/>
      <c r="W7" s="11" t="inlineStr">
        <is>
          <t>Comissão fixa de R$ 2.000,00 — já entra mesmo sem o apurado lançado.</t>
        </is>
      </c>
    </row>
    <row r="8">
      <c r="A8" s="6" t="inlineStr">
        <is>
          <t>EDEY</t>
        </is>
      </c>
      <c r="B8" s="7" t="n">
        <v>1621</v>
      </c>
      <c r="C8" s="7" t="n">
        <v>0</v>
      </c>
      <c r="D8" s="7" t="n">
        <v>350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8">
        <f>SUM(B8:M8)</f>
        <v/>
      </c>
      <c r="O8" s="7" t="n">
        <v>-0</v>
      </c>
      <c r="P8" s="7" t="n">
        <v>0</v>
      </c>
      <c r="Q8" s="7" t="n">
        <v>-84.29000000000001</v>
      </c>
      <c r="R8" s="7" t="n">
        <v>0</v>
      </c>
      <c r="S8" s="7" t="n">
        <v>0</v>
      </c>
      <c r="T8" s="8">
        <f>SUM(O8:S8)</f>
        <v/>
      </c>
      <c r="U8" s="9">
        <f>N8+T8</f>
        <v/>
      </c>
      <c r="V8" s="10" t="n"/>
      <c r="W8" s="11" t="inlineStr">
        <is>
          <t>Adicional noturno fixo de R$ 350,00 — conferir com o ponto.</t>
        </is>
      </c>
    </row>
    <row r="9">
      <c r="A9" s="6" t="inlineStr">
        <is>
          <t>JOEL</t>
        </is>
      </c>
      <c r="B9" s="7" t="n">
        <v>1458.9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8">
        <f>SUM(B9:M9)</f>
        <v/>
      </c>
      <c r="O9" s="7" t="n">
        <v>-0</v>
      </c>
      <c r="P9" s="7" t="n">
        <v>0</v>
      </c>
      <c r="Q9" s="7" t="n">
        <v>-84.29000000000001</v>
      </c>
      <c r="R9" s="7" t="n">
        <v>0</v>
      </c>
      <c r="S9" s="7" t="n">
        <v>0</v>
      </c>
      <c r="T9" s="8">
        <f>SUM(O9:S9)</f>
        <v/>
      </c>
      <c r="U9" s="9">
        <f>N9+T9</f>
        <v/>
      </c>
      <c r="V9" s="10" t="n"/>
      <c r="W9" s="11" t="inlineStr">
        <is>
          <t>Férias até 03/09 (pagas no recibo de agosto); voltou em 04/09 — salário de 27 dias.</t>
        </is>
      </c>
    </row>
    <row r="10">
      <c r="A10" s="6" t="inlineStr">
        <is>
          <t>VALÉRIA</t>
        </is>
      </c>
      <c r="B10" s="7" t="n">
        <v>1621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307.99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8">
        <f>SUM(B10:M10)</f>
        <v/>
      </c>
      <c r="O10" s="7" t="n">
        <v>-0</v>
      </c>
      <c r="P10" s="7" t="n">
        <v>0</v>
      </c>
      <c r="Q10" s="7" t="n">
        <v>-84.29000000000001</v>
      </c>
      <c r="R10" s="7" t="n">
        <v>0</v>
      </c>
      <c r="S10" s="7" t="n">
        <v>0</v>
      </c>
      <c r="T10" s="8">
        <f>SUM(O10:S10)</f>
        <v/>
      </c>
      <c r="U10" s="9">
        <f>N10+T10</f>
        <v/>
      </c>
      <c r="V10" s="10" t="n"/>
      <c r="W10" s="11" t="inlineStr"/>
    </row>
    <row r="11">
      <c r="A11" s="6" t="inlineStr">
        <is>
          <t>SARA</t>
        </is>
      </c>
      <c r="B11" s="7" t="n">
        <v>1621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810.5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8">
        <f>SUM(B11:M11)</f>
        <v/>
      </c>
      <c r="O11" s="7" t="n">
        <v>-0</v>
      </c>
      <c r="P11" s="7" t="n">
        <v>0</v>
      </c>
      <c r="Q11" s="7" t="n">
        <v>0</v>
      </c>
      <c r="R11" s="7" t="n">
        <v>0</v>
      </c>
      <c r="S11" s="7" t="n">
        <v>0</v>
      </c>
      <c r="T11" s="8">
        <f>SUM(O11:S11)</f>
        <v/>
      </c>
      <c r="U11" s="9">
        <f>N11+T11</f>
        <v/>
      </c>
      <c r="V11" s="10" t="n"/>
      <c r="W11" s="11" t="inlineStr">
        <is>
          <t>Somar aqui o saldo dela na loja Centro (código 43).</t>
        </is>
      </c>
    </row>
    <row r="12">
      <c r="A12" s="6" t="inlineStr">
        <is>
          <t>CAMILA</t>
        </is>
      </c>
      <c r="B12" s="7" t="n">
        <v>1621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8">
        <f>SUM(B12:M12)</f>
        <v/>
      </c>
      <c r="O12" s="7" t="n">
        <v>-0</v>
      </c>
      <c r="P12" s="7" t="n">
        <v>0</v>
      </c>
      <c r="Q12" s="7" t="n">
        <v>0</v>
      </c>
      <c r="R12" s="7" t="n">
        <v>0</v>
      </c>
      <c r="S12" s="7" t="n">
        <v>0</v>
      </c>
      <c r="T12" s="8">
        <f>SUM(O12:S12)</f>
        <v/>
      </c>
      <c r="U12" s="9">
        <f>N12+T12</f>
        <v/>
      </c>
      <c r="V12" s="10" t="n"/>
      <c r="W12" s="11" t="inlineStr"/>
    </row>
    <row r="13">
      <c r="A13" s="6" t="inlineStr">
        <is>
          <t>NATI</t>
        </is>
      </c>
      <c r="B13" s="7" t="n">
        <v>1621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307.99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8">
        <f>SUM(B13:M13)</f>
        <v/>
      </c>
      <c r="O13" s="7" t="n">
        <v>-0</v>
      </c>
      <c r="P13" s="7" t="n">
        <v>0</v>
      </c>
      <c r="Q13" s="7" t="n">
        <v>-84.29000000000001</v>
      </c>
      <c r="R13" s="7" t="n">
        <v>0</v>
      </c>
      <c r="S13" s="7" t="n">
        <v>0</v>
      </c>
      <c r="T13" s="8">
        <f>SUM(O13:S13)</f>
        <v/>
      </c>
      <c r="U13" s="9">
        <f>N13+T13</f>
        <v/>
      </c>
      <c r="V13" s="10" t="n"/>
      <c r="W13" s="11" t="inlineStr"/>
    </row>
    <row r="14">
      <c r="A14" s="12" t="inlineStr">
        <is>
          <t>TOTAL ARRAIAL</t>
        </is>
      </c>
      <c r="B14" s="13">
        <f>SUM(B6:B13)</f>
        <v/>
      </c>
      <c r="C14" s="13">
        <f>SUM(C6:C13)</f>
        <v/>
      </c>
      <c r="D14" s="13">
        <f>SUM(D6:D13)</f>
        <v/>
      </c>
      <c r="E14" s="13">
        <f>SUM(E6:E13)</f>
        <v/>
      </c>
      <c r="F14" s="13">
        <f>SUM(F6:F13)</f>
        <v/>
      </c>
      <c r="G14" s="13">
        <f>SUM(G6:G13)</f>
        <v/>
      </c>
      <c r="H14" s="13">
        <f>SUM(H6:H13)</f>
        <v/>
      </c>
      <c r="I14" s="13">
        <f>SUM(I6:I13)</f>
        <v/>
      </c>
      <c r="J14" s="13">
        <f>SUM(J6:J13)</f>
        <v/>
      </c>
      <c r="K14" s="13">
        <f>SUM(K6:K13)</f>
        <v/>
      </c>
      <c r="L14" s="13">
        <f>SUM(L6:L13)</f>
        <v/>
      </c>
      <c r="M14" s="13">
        <f>SUM(M6:M13)</f>
        <v/>
      </c>
      <c r="N14" s="13">
        <f>SUM(N6:N13)</f>
        <v/>
      </c>
      <c r="O14" s="13">
        <f>SUM(O6:O13)</f>
        <v/>
      </c>
      <c r="P14" s="13">
        <f>SUM(P6:P13)</f>
        <v/>
      </c>
      <c r="Q14" s="13">
        <f>SUM(Q6:Q13)</f>
        <v/>
      </c>
      <c r="R14" s="13">
        <f>SUM(R6:R13)</f>
        <v/>
      </c>
      <c r="S14" s="13">
        <f>SUM(S6:S13)</f>
        <v/>
      </c>
      <c r="T14" s="13">
        <f>SUM(T6:T13)</f>
        <v/>
      </c>
      <c r="U14" s="13">
        <f>SUM(U6:U13)</f>
        <v/>
      </c>
      <c r="V14" s="13">
        <f>SUM(V6:V13)</f>
        <v/>
      </c>
      <c r="W14" s="14" t="n"/>
    </row>
    <row r="15" ht="19" customHeight="1">
      <c r="A15" s="4" t="inlineStr">
        <is>
          <t>LOJA CENTRO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</row>
    <row r="16">
      <c r="A16" s="6" t="inlineStr">
        <is>
          <t>ARIANE</t>
        </is>
      </c>
      <c r="B16" s="7" t="n">
        <v>5648.41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8">
        <f>SUM(B16:M16)</f>
        <v/>
      </c>
      <c r="O16" s="7" t="n">
        <v>-0</v>
      </c>
      <c r="P16" s="7" t="n">
        <v>0</v>
      </c>
      <c r="Q16" s="7" t="n">
        <v>0</v>
      </c>
      <c r="R16" s="7" t="n">
        <v>0</v>
      </c>
      <c r="S16" s="7" t="n">
        <v>0</v>
      </c>
      <c r="T16" s="8">
        <f>SUM(O16:S16)</f>
        <v/>
      </c>
      <c r="U16" s="9">
        <f>N16+T16</f>
        <v/>
      </c>
      <c r="V16" s="10" t="n"/>
      <c r="W16" s="11" t="inlineStr">
        <is>
          <t>Não recebe comissão.</t>
        </is>
      </c>
    </row>
    <row r="17">
      <c r="A17" s="6" t="inlineStr">
        <is>
          <t>ELIANA</t>
        </is>
      </c>
      <c r="B17" s="7" t="n">
        <v>1621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8">
        <f>SUM(B17:M17)</f>
        <v/>
      </c>
      <c r="O17" s="7" t="n">
        <v>-0</v>
      </c>
      <c r="P17" s="7" t="n">
        <v>0</v>
      </c>
      <c r="Q17" s="7" t="n">
        <v>-84.29000000000001</v>
      </c>
      <c r="R17" s="7" t="n">
        <v>0</v>
      </c>
      <c r="S17" s="7" t="n">
        <v>0</v>
      </c>
      <c r="T17" s="8">
        <f>SUM(O17:S17)</f>
        <v/>
      </c>
      <c r="U17" s="9">
        <f>N17+T17</f>
        <v/>
      </c>
      <c r="V17" s="10" t="n"/>
      <c r="W17" s="11" t="inlineStr"/>
    </row>
    <row r="18">
      <c r="A18" s="6" t="inlineStr">
        <is>
          <t>GENECIR</t>
        </is>
      </c>
      <c r="B18" s="7" t="n">
        <v>1621</v>
      </c>
      <c r="C18" s="7" t="n">
        <v>108.06</v>
      </c>
      <c r="D18" s="7" t="n">
        <v>0</v>
      </c>
      <c r="E18" s="7" t="n">
        <v>0</v>
      </c>
      <c r="F18" s="7" t="n">
        <v>27.02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8">
        <f>SUM(B18:M18)</f>
        <v/>
      </c>
      <c r="O18" s="7" t="n">
        <v>-0</v>
      </c>
      <c r="P18" s="7" t="n">
        <v>-500</v>
      </c>
      <c r="Q18" s="7" t="n">
        <v>-84.29000000000001</v>
      </c>
      <c r="R18" s="7" t="n">
        <v>0</v>
      </c>
      <c r="S18" s="7" t="n">
        <v>0</v>
      </c>
      <c r="T18" s="8">
        <f>SUM(O18:S18)</f>
        <v/>
      </c>
      <c r="U18" s="9">
        <f>N18+T18</f>
        <v/>
      </c>
      <c r="V18" s="10" t="n"/>
      <c r="W18" s="11" t="inlineStr">
        <is>
          <t>Feriados de 07/09 e 08/09 trabalhados (R$ 108,06). Adiantamento de R$ 500,00 em 09/09. VT de R$ 270,00.</t>
        </is>
      </c>
    </row>
    <row r="19">
      <c r="A19" s="6" t="inlineStr">
        <is>
          <t>RENALDO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8">
        <f>SUM(B19:M19)</f>
        <v/>
      </c>
      <c r="O19" s="7" t="n">
        <v>-0</v>
      </c>
      <c r="P19" s="7" t="n">
        <v>0</v>
      </c>
      <c r="Q19" s="7" t="n">
        <v>0</v>
      </c>
      <c r="R19" s="7" t="n">
        <v>0</v>
      </c>
      <c r="S19" s="7" t="n">
        <v>0</v>
      </c>
      <c r="T19" s="8">
        <f>SUM(O19:S19)</f>
        <v/>
      </c>
      <c r="U19" s="9">
        <f>N19+T19</f>
        <v/>
      </c>
      <c r="V19" s="10" t="n"/>
      <c r="W19" s="11" t="inlineStr">
        <is>
          <t>Férias de 01 a 30/09 — salário zerado; férias e 1/3 em recibo próprio.</t>
        </is>
      </c>
    </row>
    <row r="20">
      <c r="A20" s="6" t="inlineStr">
        <is>
          <t>THAYANE</t>
        </is>
      </c>
      <c r="B20" s="7" t="n">
        <v>1621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8">
        <f>SUM(B20:M20)</f>
        <v/>
      </c>
      <c r="O20" s="7" t="n">
        <v>-0</v>
      </c>
      <c r="P20" s="7" t="n">
        <v>0</v>
      </c>
      <c r="Q20" s="7" t="n">
        <v>-84.29000000000001</v>
      </c>
      <c r="R20" s="7" t="n">
        <v>0</v>
      </c>
      <c r="S20" s="7" t="n">
        <v>0</v>
      </c>
      <c r="T20" s="8">
        <f>SUM(O20:S20)</f>
        <v/>
      </c>
      <c r="U20" s="9">
        <f>N20+T20</f>
        <v/>
      </c>
      <c r="V20" s="10" t="n"/>
      <c r="W20" s="11" t="inlineStr"/>
    </row>
    <row r="21">
      <c r="A21" s="6" t="inlineStr">
        <is>
          <t>PEDRO</t>
        </is>
      </c>
      <c r="B21" s="7" t="n">
        <v>4000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8">
        <f>SUM(B21:M21)</f>
        <v/>
      </c>
      <c r="O21" s="7" t="n">
        <v>-0</v>
      </c>
      <c r="P21" s="7" t="n">
        <v>0</v>
      </c>
      <c r="Q21" s="7" t="n">
        <v>0</v>
      </c>
      <c r="R21" s="7" t="n">
        <v>0</v>
      </c>
      <c r="S21" s="7" t="n">
        <v>0</v>
      </c>
      <c r="T21" s="8">
        <f>SUM(O21:S21)</f>
        <v/>
      </c>
      <c r="U21" s="9">
        <f>N21+T21</f>
        <v/>
      </c>
      <c r="V21" s="10" t="n"/>
      <c r="W21" s="11" t="inlineStr">
        <is>
          <t>Salário corrigido para R$ 4.000,00. Não recebe comissão. Não constou no holerite do Centro em agosto — conferir a empresa.</t>
        </is>
      </c>
    </row>
    <row r="22">
      <c r="A22" s="12" t="inlineStr">
        <is>
          <t>TOTAL CENTRO</t>
        </is>
      </c>
      <c r="B22" s="13">
        <f>SUM(B16:B21)</f>
        <v/>
      </c>
      <c r="C22" s="13">
        <f>SUM(C16:C21)</f>
        <v/>
      </c>
      <c r="D22" s="13">
        <f>SUM(D16:D21)</f>
        <v/>
      </c>
      <c r="E22" s="13">
        <f>SUM(E16:E21)</f>
        <v/>
      </c>
      <c r="F22" s="13">
        <f>SUM(F16:F21)</f>
        <v/>
      </c>
      <c r="G22" s="13">
        <f>SUM(G16:G21)</f>
        <v/>
      </c>
      <c r="H22" s="13">
        <f>SUM(H16:H21)</f>
        <v/>
      </c>
      <c r="I22" s="13">
        <f>SUM(I16:I21)</f>
        <v/>
      </c>
      <c r="J22" s="13">
        <f>SUM(J16:J21)</f>
        <v/>
      </c>
      <c r="K22" s="13">
        <f>SUM(K16:K21)</f>
        <v/>
      </c>
      <c r="L22" s="13">
        <f>SUM(L16:L21)</f>
        <v/>
      </c>
      <c r="M22" s="13">
        <f>SUM(M16:M21)</f>
        <v/>
      </c>
      <c r="N22" s="13">
        <f>SUM(N16:N21)</f>
        <v/>
      </c>
      <c r="O22" s="13">
        <f>SUM(O16:O21)</f>
        <v/>
      </c>
      <c r="P22" s="13">
        <f>SUM(P16:P21)</f>
        <v/>
      </c>
      <c r="Q22" s="13">
        <f>SUM(Q16:Q21)</f>
        <v/>
      </c>
      <c r="R22" s="13">
        <f>SUM(R16:R21)</f>
        <v/>
      </c>
      <c r="S22" s="13">
        <f>SUM(S16:S21)</f>
        <v/>
      </c>
      <c r="T22" s="13">
        <f>SUM(T16:T21)</f>
        <v/>
      </c>
      <c r="U22" s="13">
        <f>SUM(U16:U21)</f>
        <v/>
      </c>
      <c r="V22" s="13">
        <f>SUM(V16:V21)</f>
        <v/>
      </c>
      <c r="W22" s="14" t="n"/>
    </row>
    <row r="23" ht="19" customHeight="1">
      <c r="A23" s="4" t="inlineStr">
        <is>
          <t>LOJA TRANCOSO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</row>
    <row r="24">
      <c r="A24" s="6" t="inlineStr">
        <is>
          <t>UILLIAN</t>
        </is>
      </c>
      <c r="B24" s="7" t="n">
        <v>5648.41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8">
        <f>SUM(B24:M24)</f>
        <v/>
      </c>
      <c r="O24" s="7" t="n">
        <v>-0</v>
      </c>
      <c r="P24" s="7" t="n">
        <v>0</v>
      </c>
      <c r="Q24" s="7" t="n">
        <v>0</v>
      </c>
      <c r="R24" s="7" t="n">
        <v>0</v>
      </c>
      <c r="S24" s="7" t="n">
        <v>0</v>
      </c>
      <c r="T24" s="8">
        <f>SUM(O24:S24)</f>
        <v/>
      </c>
      <c r="U24" s="9">
        <f>N24+T24</f>
        <v/>
      </c>
      <c r="V24" s="10" t="n"/>
      <c r="W24" s="11" t="inlineStr">
        <is>
          <t>Não recebe comissão.</t>
        </is>
      </c>
    </row>
    <row r="25">
      <c r="A25" s="6" t="inlineStr">
        <is>
          <t>MANOEL</t>
        </is>
      </c>
      <c r="B25" s="7" t="n">
        <v>1621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8">
        <f>SUM(B25:M25)</f>
        <v/>
      </c>
      <c r="O25" s="7" t="n">
        <v>-0</v>
      </c>
      <c r="P25" s="7" t="n">
        <v>0</v>
      </c>
      <c r="Q25" s="7" t="n">
        <v>0</v>
      </c>
      <c r="R25" s="7" t="n">
        <v>0</v>
      </c>
      <c r="S25" s="7" t="n">
        <v>0</v>
      </c>
      <c r="T25" s="8">
        <f>SUM(O25:S25)</f>
        <v/>
      </c>
      <c r="U25" s="9">
        <f>N25+T25</f>
        <v/>
      </c>
      <c r="V25" s="10" t="n"/>
      <c r="W25" s="11" t="inlineStr"/>
    </row>
    <row r="26">
      <c r="A26" s="6" t="inlineStr">
        <is>
          <t>VALDICK</t>
        </is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8">
        <f>SUM(B26:M26)</f>
        <v/>
      </c>
      <c r="O26" s="7" t="n">
        <v>-0</v>
      </c>
      <c r="P26" s="7" t="n">
        <v>0</v>
      </c>
      <c r="Q26" s="7" t="n">
        <v>0</v>
      </c>
      <c r="R26" s="7" t="n">
        <v>0</v>
      </c>
      <c r="S26" s="7" t="n">
        <v>0</v>
      </c>
      <c r="T26" s="8">
        <f>SUM(O26:S26)</f>
        <v/>
      </c>
      <c r="U26" s="9">
        <f>N26+T26</f>
        <v/>
      </c>
      <c r="V26" s="10" t="n"/>
      <c r="W26" s="11" t="inlineStr">
        <is>
          <t>Férias de 01 a 30/09 — salário zerado; férias e 1/3 em recibo próprio.</t>
        </is>
      </c>
    </row>
    <row r="27">
      <c r="A27" s="6" t="inlineStr">
        <is>
          <t>INIURLE</t>
        </is>
      </c>
      <c r="B27" s="7" t="n">
        <v>1621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8">
        <f>SUM(B27:M27)</f>
        <v/>
      </c>
      <c r="O27" s="7" t="n">
        <v>-0</v>
      </c>
      <c r="P27" s="7" t="n">
        <v>0</v>
      </c>
      <c r="Q27" s="7" t="n">
        <v>0</v>
      </c>
      <c r="R27" s="7" t="n">
        <v>0</v>
      </c>
      <c r="S27" s="7" t="n">
        <v>0</v>
      </c>
      <c r="T27" s="8">
        <f>SUM(O27:S27)</f>
        <v/>
      </c>
      <c r="U27" s="9">
        <f>N27+T27</f>
        <v/>
      </c>
      <c r="V27" s="10" t="n"/>
      <c r="W27" s="11" t="inlineStr"/>
    </row>
    <row r="28">
      <c r="A28" s="6" t="inlineStr">
        <is>
          <t>TAMILES</t>
        </is>
      </c>
      <c r="B28" s="7" t="n">
        <v>1621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8">
        <f>SUM(B28:M28)</f>
        <v/>
      </c>
      <c r="O28" s="7" t="n">
        <v>-0</v>
      </c>
      <c r="P28" s="7" t="n">
        <v>0</v>
      </c>
      <c r="Q28" s="7" t="n">
        <v>0</v>
      </c>
      <c r="R28" s="7" t="n">
        <v>0</v>
      </c>
      <c r="S28" s="7" t="n">
        <v>0</v>
      </c>
      <c r="T28" s="8">
        <f>SUM(O28:S28)</f>
        <v/>
      </c>
      <c r="U28" s="9">
        <f>N28+T28</f>
        <v/>
      </c>
      <c r="V28" s="10" t="n"/>
      <c r="W28" s="11" t="inlineStr">
        <is>
          <t>Atestado de 02 a 08/09, abonado — sem desconto.</t>
        </is>
      </c>
    </row>
    <row r="29">
      <c r="A29" s="12" t="inlineStr">
        <is>
          <t>TOTAL TRANCOSO</t>
        </is>
      </c>
      <c r="B29" s="13">
        <f>SUM(B24:B28)</f>
        <v/>
      </c>
      <c r="C29" s="13">
        <f>SUM(C24:C28)</f>
        <v/>
      </c>
      <c r="D29" s="13">
        <f>SUM(D24:D28)</f>
        <v/>
      </c>
      <c r="E29" s="13">
        <f>SUM(E24:E28)</f>
        <v/>
      </c>
      <c r="F29" s="13">
        <f>SUM(F24:F28)</f>
        <v/>
      </c>
      <c r="G29" s="13">
        <f>SUM(G24:G28)</f>
        <v/>
      </c>
      <c r="H29" s="13">
        <f>SUM(H24:H28)</f>
        <v/>
      </c>
      <c r="I29" s="13">
        <f>SUM(I24:I28)</f>
        <v/>
      </c>
      <c r="J29" s="13">
        <f>SUM(J24:J28)</f>
        <v/>
      </c>
      <c r="K29" s="13">
        <f>SUM(K24:K28)</f>
        <v/>
      </c>
      <c r="L29" s="13">
        <f>SUM(L24:L28)</f>
        <v/>
      </c>
      <c r="M29" s="13">
        <f>SUM(M24:M28)</f>
        <v/>
      </c>
      <c r="N29" s="13">
        <f>SUM(N24:N28)</f>
        <v/>
      </c>
      <c r="O29" s="13">
        <f>SUM(O24:O28)</f>
        <v/>
      </c>
      <c r="P29" s="13">
        <f>SUM(P24:P28)</f>
        <v/>
      </c>
      <c r="Q29" s="13">
        <f>SUM(Q24:Q28)</f>
        <v/>
      </c>
      <c r="R29" s="13">
        <f>SUM(R24:R28)</f>
        <v/>
      </c>
      <c r="S29" s="13">
        <f>SUM(S24:S28)</f>
        <v/>
      </c>
      <c r="T29" s="13">
        <f>SUM(T24:T28)</f>
        <v/>
      </c>
      <c r="U29" s="13">
        <f>SUM(U24:U28)</f>
        <v/>
      </c>
      <c r="V29" s="13">
        <f>SUM(V24:V28)</f>
        <v/>
      </c>
      <c r="W29" s="14" t="n"/>
    </row>
    <row r="31" ht="22" customHeight="1">
      <c r="A31" s="15" t="inlineStr">
        <is>
          <t>TOTAL GERAL — 3 LOJAS</t>
        </is>
      </c>
      <c r="B31" s="16">
        <f>B14+B22+B29</f>
        <v/>
      </c>
      <c r="C31" s="16">
        <f>C14+C22+C29</f>
        <v/>
      </c>
      <c r="D31" s="16">
        <f>D14+D22+D29</f>
        <v/>
      </c>
      <c r="E31" s="16">
        <f>E14+E22+E29</f>
        <v/>
      </c>
      <c r="F31" s="16">
        <f>F14+F22+F29</f>
        <v/>
      </c>
      <c r="G31" s="16">
        <f>G14+G22+G29</f>
        <v/>
      </c>
      <c r="H31" s="16">
        <f>H14+H22+H29</f>
        <v/>
      </c>
      <c r="I31" s="16">
        <f>I14+I22+I29</f>
        <v/>
      </c>
      <c r="J31" s="16">
        <f>J14+J22+J29</f>
        <v/>
      </c>
      <c r="K31" s="16">
        <f>K14+K22+K29</f>
        <v/>
      </c>
      <c r="L31" s="16">
        <f>L14+L22+L29</f>
        <v/>
      </c>
      <c r="M31" s="16">
        <f>M14+M22+M29</f>
        <v/>
      </c>
      <c r="N31" s="16">
        <f>N14+N22+N29</f>
        <v/>
      </c>
      <c r="O31" s="16">
        <f>O14+O22+O29</f>
        <v/>
      </c>
      <c r="P31" s="16">
        <f>P14+P22+P29</f>
        <v/>
      </c>
      <c r="Q31" s="16">
        <f>Q14+Q22+Q29</f>
        <v/>
      </c>
      <c r="R31" s="16">
        <f>R14+R22+R29</f>
        <v/>
      </c>
      <c r="S31" s="16">
        <f>S14+S22+S29</f>
        <v/>
      </c>
      <c r="T31" s="16">
        <f>T14+T22+T29</f>
        <v/>
      </c>
      <c r="U31" s="16">
        <f>U14+U22+U29</f>
        <v/>
      </c>
      <c r="V31" s="16">
        <f>V14+V22+V29</f>
        <v/>
      </c>
      <c r="W31" s="17" t="n"/>
    </row>
    <row r="33">
      <c r="A33" s="18" t="inlineStr">
        <is>
          <t>ESTE RESUMO AINDA É PARCIAL — falta, antes de mandar à Betel:</t>
        </is>
      </c>
    </row>
    <row r="34">
      <c r="A34" s="19" t="inlineStr">
        <is>
          <t>• Comissões e incentivos de setembro: extrair o relatório do InovaFarma (01/09 a 30/09) das 3 lojas. Só o AGNOR já aparece com comissão, porque o fixo de R$ 2.000,00 não depende do apurado.</t>
        </is>
      </c>
    </row>
    <row r="35">
      <c r="A35" s="19" t="inlineStr">
        <is>
          <t>• Prêmios (cota geral e pré-vencidos), vales adiantados, convênio e faltas — por enquanto só o adiantamento do GENECIR está lançado.</t>
        </is>
      </c>
    </row>
    <row r="36">
      <c r="A36" s="19" t="inlineStr">
        <is>
          <t>• Ponto de setembro: horas extras e quem mais trabalhou nos feriados de 07/09 e 08/09.</t>
        </is>
      </c>
    </row>
    <row r="37">
      <c r="A37" s="19" t="inlineStr">
        <is>
          <t>• INSS e IRRF são calculados pela Betel.</t>
        </is>
      </c>
    </row>
    <row r="38">
      <c r="A38" s="19" t="inlineStr">
        <is>
          <t>• Diárias dos folguistas SERGIO e ANA CELIA (contas a pagar, fora do holerite).</t>
        </is>
      </c>
    </row>
    <row r="39">
      <c r="A39" s="19" t="inlineStr"/>
    </row>
    <row r="40">
      <c r="A40" s="18" t="inlineStr">
        <is>
          <t>CRITÉRIOS DE SETEMBRO:</t>
        </is>
      </c>
    </row>
    <row r="41">
      <c r="A41" s="19" t="inlineStr">
        <is>
          <t>• DSR: 4 domingos + feriados de 07/09 (Independência) e 08/09 (municipal) = 6 ÷ 24 dias úteis = fator 0,25.</t>
        </is>
      </c>
    </row>
    <row r="42">
      <c r="A42" s="19" t="inlineStr">
        <is>
          <t>• Feriado trabalhado sem folga = 1 salário-dia a mais (R$ 54,03 no salário de R$ 1.621,00).</t>
        </is>
      </c>
    </row>
    <row r="43">
      <c r="A43" s="19" t="inlineStr">
        <is>
          <t>• TRANCOSO paga o dobro da comissão apurada; incentivos simples.</t>
        </is>
      </c>
    </row>
    <row r="44">
      <c r="A44" s="19" t="inlineStr">
        <is>
          <t>• Férias pagas à parte em setembro: RENALDO (Centro) e VALDICK (Trancoso), de 01 a 30/09 — lançar o valor do recibo na coluna FÉRIAS PAGAS À PARTE.</t>
        </is>
      </c>
    </row>
  </sheetData>
  <autoFilter ref="A4:W29"/>
  <mergeCells count="14">
    <mergeCell ref="A36:W36"/>
    <mergeCell ref="A44:W44"/>
    <mergeCell ref="A1:W1"/>
    <mergeCell ref="A37:W37"/>
    <mergeCell ref="A40:W40"/>
    <mergeCell ref="A34:W34"/>
    <mergeCell ref="A35:W35"/>
    <mergeCell ref="A38:W38"/>
    <mergeCell ref="A39:W39"/>
    <mergeCell ref="A43:W43"/>
    <mergeCell ref="A41:W41"/>
    <mergeCell ref="A2:W2"/>
    <mergeCell ref="A33:W33"/>
    <mergeCell ref="A42:W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2026-10-02T21:36:51Z</dcterms:created>
  <dcterms:modified xsi:type="dcterms:W3CDTF">2026-10-02T21:36:51Z</dcterms:modified>
</cp:coreProperties>
</file>