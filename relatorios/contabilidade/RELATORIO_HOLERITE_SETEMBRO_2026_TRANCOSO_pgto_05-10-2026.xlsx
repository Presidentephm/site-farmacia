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SET.26'!$A$4:$H$36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setembro — lançar na aba PONTO SET.26.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Extrair o relatório de comissões de setembro no InovaFarma e preencher a aba BASE INOVAFARMA SET.26.</t>
        </is>
      </c>
    </row>
    <row r="33" ht="17" customHeight="1">
      <c r="A33" s="4" t="inlineStr">
        <is>
          <t>•</t>
        </is>
      </c>
      <c r="B33" s="6" t="inlineStr">
        <is>
          <t>TAMILES: se o atestado for prorrogado além de 15 dias corridos, a partir do 16º dia passa a ser auxílio-doença do INSS.</t>
        </is>
      </c>
    </row>
    <row r="34" ht="17" customHeight="1">
      <c r="A34" s="4" t="inlineStr">
        <is>
          <t>•</t>
        </is>
      </c>
      <c r="B34" s="6" t="inlineStr">
        <is>
          <t>Lançar na linha PRÊMIO COTA GERAL o valor já com a redução combinada.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1621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SET.26'!$G$5:$G$13,'PONTO SET.26'!$A$5:$A$13,B$4,'PONTO SET.26'!$H$5:$H$13,"ADICIONAL NOTURNO")</f>
        <v/>
      </c>
      <c r="C7" s="30">
        <f>SUMIFS('PONTO SET.26'!$G$5:$G$13,'PONTO SET.26'!$A$5:$A$13,C$4,'PONTO SET.26'!$H$5:$H$13,"ADICIONAL NOTURNO")</f>
        <v/>
      </c>
      <c r="D7" s="30">
        <f>SUMIFS('PONTO SET.26'!$G$5:$G$13,'PONTO SET.26'!$A$5:$A$13,D$4,'PONTO SET.26'!$H$5:$H$13,"ADICIONAL NOTURNO")</f>
        <v/>
      </c>
      <c r="E7" s="30">
        <f>SUMIFS('PONTO SET.26'!$G$5:$G$13,'PONTO SET.26'!$A$5:$A$13,E$4,'PONTO SET.26'!$H$5:$H$13,"ADICIONAL NOTURNO")</f>
        <v/>
      </c>
      <c r="F7" s="30">
        <f>SUMIFS('PONTO SET.26'!$G$5:$G$13,'PONTO SET.26'!$A$5:$A$13,F$4,'PONTO SET.26'!$H$5:$H$13,"ADICIONAL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SET.26'!$G$5:$G$13,'PONTO SET.26'!$A$5:$A$13,B$4,'PONTO SET.26'!$H$5:$H$13,"HORAS EXTRAS")</f>
        <v/>
      </c>
      <c r="C8" s="30">
        <f>SUMIFS('PONTO SET.26'!$G$5:$G$13,'PONTO SET.26'!$A$5:$A$13,C$4,'PONTO SET.26'!$H$5:$H$13,"HORAS EXTRAS")</f>
        <v/>
      </c>
      <c r="D8" s="30">
        <f>SUMIFS('PONTO SET.26'!$G$5:$G$13,'PONTO SET.26'!$A$5:$A$13,D$4,'PONTO SET.26'!$H$5:$H$13,"HORAS EXTRAS")</f>
        <v/>
      </c>
      <c r="E8" s="30">
        <f>SUMIFS('PONTO SET.26'!$G$5:$G$13,'PONTO SET.26'!$A$5:$A$13,E$4,'PONTO SET.26'!$H$5:$H$13,"HORAS EXTRAS")</f>
        <v/>
      </c>
      <c r="F8" s="30">
        <f>SUMIFS('PONTO SET.26'!$G$5:$G$13,'PONTO SET.26'!$A$5:$A$13,F$4,'PONTO SET.26'!$H$5:$H$13,"HORAS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 t="inlineStr">
        <is>
          <t>Cálculo: (comissão total + horas extras) × (4 domingos + feriado 07/09) ÷ 25 dias úteis de setembro/2026.</t>
        </is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>PREENCHER com os vales adiantados durante setembro.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>PREENCHER com as passagens compradas para outubro/2026.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8">
      <c r="A38" s="21" t="inlineStr">
        <is>
          <t>LEGENDA</t>
        </is>
      </c>
      <c r="B38" s="35" t="inlineStr"/>
    </row>
    <row r="39">
      <c r="A39" s="21" t="inlineStr">
        <is>
          <t>Célula amarela, texto azul</t>
        </is>
      </c>
      <c r="B39" s="35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5" t="inlineStr">
        <is>
          <t>valor repetido de agosto/2026 — CONFERIR se continua válido em setembro.</t>
        </is>
      </c>
    </row>
    <row r="41">
      <c r="A41" s="21" t="inlineStr">
        <is>
          <t>Texto verde</t>
        </is>
      </c>
      <c r="B41" s="35" t="inlineStr">
        <is>
          <t>valor puxado da aba BASE INOVAFARMA SET.26 (não digitar por cima).</t>
        </is>
      </c>
    </row>
    <row r="42">
      <c r="A42" s="21" t="inlineStr">
        <is>
          <t>Texto preto em célula verde</t>
        </is>
      </c>
      <c r="B42" s="35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TAMILES</t>
        </is>
      </c>
      <c r="B5" s="26" t="inlineStr">
        <is>
          <t>Atestado médico (abonado)</t>
        </is>
      </c>
      <c r="C5" s="8" t="n">
        <v>7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6">
      <c r="A6" s="49" t="n"/>
      <c r="B6" s="49" t="n"/>
      <c r="C6" s="49" t="n"/>
      <c r="D6" s="49" t="n"/>
      <c r="E6" s="30">
        <f>IFERROR(INDEX('HOLERITE SET.26'!$B$6:$F$6,1,MATCH(A6,'HOLERITE SET.26'!$B$4:$F$4,0)),0)</f>
        <v/>
      </c>
      <c r="F6" s="31" t="n"/>
      <c r="G6" s="20">
        <f>ROUND(C6*F6,2)</f>
        <v/>
      </c>
      <c r="H6" s="49" t="n"/>
      <c r="I6" s="49" t="n"/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SET.26.</t>
        </is>
      </c>
    </row>
  </sheetData>
  <autoFilter ref="A4:I13"/>
  <mergeCells count="6">
    <mergeCell ref="A2:I2"/>
    <mergeCell ref="A19:I19"/>
    <mergeCell ref="A1:I1"/>
    <mergeCell ref="A17:I17"/>
    <mergeCell ref="A18:I1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2026-09-03T16:12:55Z</dcterms:created>
  <dcterms:modified xsi:type="dcterms:W3CDTF">2026-09-03T16:12:55Z</dcterms:modified>
</cp:coreProperties>
</file>