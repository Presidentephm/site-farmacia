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SET.26'!$A$4:$H$37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 cota geral e prêmio pré-vencidos, conforme a tabela de metas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0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SET.26'!$G$5:$G$14,'PONTO SET.26'!$A$5:$A$14,B$4,'PONTO SET.26'!$H$5:$H$14,"ADICIONAL NOTURNO")</f>
        <v/>
      </c>
      <c r="C7" s="30">
        <f>SUMIFS('PONTO SET.26'!$G$5:$G$14,'PONTO SET.26'!$A$5:$A$14,C$4,'PONTO SET.26'!$H$5:$H$14,"ADICIONAL NOTURNO")</f>
        <v/>
      </c>
      <c r="D7" s="30">
        <f>SUMIFS('PONTO SET.26'!$G$5:$G$14,'PONTO SET.26'!$A$5:$A$14,D$4,'PONTO SET.26'!$H$5:$H$14,"ADICIONAL NOTURNO")</f>
        <v/>
      </c>
      <c r="E7" s="30">
        <f>SUMIFS('PONTO SET.26'!$G$5:$G$14,'PONTO SET.26'!$A$5:$A$14,E$4,'PONTO SET.26'!$H$5:$H$14,"ADICIONAL NOTURNO")</f>
        <v/>
      </c>
      <c r="F7" s="30">
        <f>SUMIFS('PONTO SET.26'!$G$5:$G$14,'PONTO SET.26'!$A$5:$A$14,F$4,'PONTO SET.26'!$H$5:$H$14,"ADICIONAL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SET.26'!$G$5:$G$14,'PONTO SET.26'!$A$5:$A$14,B$4,'PONTO SET.26'!$H$5:$H$14,"HORAS EXTRAS")</f>
        <v/>
      </c>
      <c r="C8" s="30">
        <f>SUMIFS('PONTO SET.26'!$G$5:$G$14,'PONTO SET.26'!$A$5:$A$14,C$4,'PONTO SET.26'!$H$5:$H$14,"HORAS EXTRAS")</f>
        <v/>
      </c>
      <c r="D8" s="30">
        <f>SUMIFS('PONTO SET.26'!$G$5:$G$14,'PONTO SET.26'!$A$5:$A$14,D$4,'PONTO SET.26'!$H$5:$H$14,"HORAS EXTRAS")</f>
        <v/>
      </c>
      <c r="E8" s="30">
        <f>SUMIFS('PONTO SET.26'!$G$5:$G$14,'PONTO SET.26'!$A$5:$A$14,E$4,'PONTO SET.26'!$H$5:$H$14,"HORAS EXTRAS")</f>
        <v/>
      </c>
      <c r="F8" s="30">
        <f>SUMIFS('PONTO SET.26'!$G$5:$G$14,'PONTO SET.26'!$A$5:$A$14,F$4,'PONTO SET.26'!$H$5:$H$14,"HORAS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 t="inlineStr">
        <is>
          <t>Cálculo: (comissão total + horas extras) × (4 domingos + feriado 07/09) ÷ 25 dias úteis de setembro/2026.</t>
        </is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SALARIAL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>PREENCHER com os vales adiantados durante setembro.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>PREENCHER com as passagens compradas para outubro/2026.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7">
      <c r="A37" s="26" t="inlineStr">
        <is>
          <t>FÉRIAS PAGAS À PARTE (CONTAS A PAGAR)</t>
        </is>
      </c>
      <c r="B37" s="27" t="n"/>
      <c r="C37" s="27" t="n"/>
      <c r="D37" s="27" t="n"/>
      <c r="E37" s="27" t="n"/>
      <c r="F37" s="27" t="n"/>
      <c r="G37" s="28">
        <f>SUM(B37:F37)</f>
        <v/>
      </c>
      <c r="H37" s="29" t="inlineStr">
        <is>
          <t>Recibo de férias pago fora do holerite — lembrete para o contas a pagar. VALDICK: férias de 01 a 30/09/2026 — informar o valor do recibo.</t>
        </is>
      </c>
    </row>
    <row r="39">
      <c r="A39" s="21" t="inlineStr">
        <is>
          <t>LEGENDA</t>
        </is>
      </c>
      <c r="B39" s="35" t="inlineStr"/>
    </row>
    <row r="40">
      <c r="A40" s="21" t="inlineStr">
        <is>
          <t>Célula amarela, texto azul</t>
        </is>
      </c>
      <c r="B40" s="35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35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35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35" t="inlineStr">
        <is>
          <t>resultado de fórmula — não alterar.</t>
        </is>
      </c>
    </row>
  </sheetData>
  <autoFilter ref="A4:H37"/>
  <mergeCells count="7">
    <mergeCell ref="B40:H40"/>
    <mergeCell ref="B41:H41"/>
    <mergeCell ref="B42:H42"/>
    <mergeCell ref="A2:H2"/>
    <mergeCell ref="B43:H43"/>
    <mergeCell ref="B39:H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SALARIAL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SALARIAL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SALARIAL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SALARIAL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SALARIAL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salarial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26" t="inlineStr">
        <is>
          <t>Registro informativo</t>
        </is>
      </c>
      <c r="C5" s="8" t="n">
        <v>30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26" t="inlineStr">
        <is>
          <t>Atestado médico (abonado)</t>
        </is>
      </c>
      <c r="C6" s="8" t="n">
        <v>7</v>
      </c>
      <c r="D6" s="14" t="inlineStr">
        <is>
          <t>dias</t>
        </is>
      </c>
      <c r="E6" s="30">
        <f>IFERROR(INDEX('HOLERITE SET.26'!$B$6:$F$6,1,MATCH(A6,'HOLERITE SET.26'!$B$4:$F$4,0)),0)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0">
        <f>IFERROR(INDEX('HOLERITE SET.26'!$B$6:$F$6,1,MATCH(A14,'HOLERITE SET.26'!$B$4:$F$4,0)),0)</f>
        <v/>
      </c>
      <c r="F14" s="31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2026-09-03T16:27:48Z</dcterms:created>
  <dcterms:modified xsi:type="dcterms:W3CDTF">2026-09-03T16:27:48Z</dcterms:modified>
</cp:coreProperties>
</file>