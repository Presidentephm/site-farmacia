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" sheetId="1" state="visible" r:id="rId1"/>
    <sheet name="PARÂMETROS" sheetId="2" state="visible" r:id="rId2"/>
    <sheet name="BASE INOVAFARMA SET.26" sheetId="3" state="visible" r:id="rId3"/>
    <sheet name="HOLERITE SET.26" sheetId="4" state="visible" r:id="rId4"/>
    <sheet name="LISTA CONTABILIDADE" sheetId="5" state="visible" r:id="rId5"/>
    <sheet name="GANHOS DO COLABORADOR" sheetId="6" state="visible" r:id="rId6"/>
    <sheet name="PONTO SET.26" sheetId="7" state="visible" r:id="rId7"/>
  </sheets>
  <definedNames>
    <definedName name="_xlnm._FilterDatabase" localSheetId="2" hidden="1">'BASE INOVAFARMA SET.26'!$A$4:$J$9</definedName>
    <definedName name="_xlnm._FilterDatabase" localSheetId="3" hidden="1">'HOLERITE SET.26'!$A$4:$H$37</definedName>
    <definedName name="_xlnm._FilterDatabase" localSheetId="4" hidden="1">'LISTA CONTABILIDADE'!$A$4:$E$128</definedName>
    <definedName name="_xlnm.Print_Area" localSheetId="5">'GANHOS DO COLABORADOR'!$A$1:$D$45</definedName>
    <definedName name="_xlnm._FilterDatabase" localSheetId="6" hidden="1">'PONTO SET.26'!$A$4:$I$14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;-R$ #,##0.00;&quot;-&quot;"/>
    <numFmt numFmtId="165" formatCode="0.00000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3864"/>
      <sz val="10"/>
    </font>
    <font>
      <name val="Arial"/>
      <b val="1"/>
      <color rgb="001F3864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i val="1"/>
      <color rgb="00000000"/>
      <sz val="9"/>
    </font>
    <font>
      <name val="Arial"/>
      <b val="1"/>
      <color rgb="00FFFFFF"/>
      <sz val="9"/>
    </font>
    <font>
      <name val="Arial"/>
      <b val="1"/>
      <color rgb="001F3864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008000"/>
      <sz val="10"/>
    </font>
    <font>
      <name val="Arial"/>
      <b val="1"/>
      <color rgb="00008000"/>
      <sz val="10"/>
    </font>
    <font>
      <name val="Arial"/>
      <b val="1"/>
      <color rgb="000000FF"/>
      <sz val="12"/>
    </font>
    <font>
      <name val="Arial"/>
      <b val="1"/>
      <color rgb="00000000"/>
      <sz val="11"/>
    </font>
    <font>
      <name val="Arial"/>
      <b val="1"/>
      <color rgb="00008000"/>
      <sz val="11"/>
    </font>
    <font>
      <name val="Arial"/>
      <b val="1"/>
      <color rgb="00C00000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5496"/>
      </patternFill>
    </fill>
    <fill>
      <patternFill patternType="solid">
        <fgColor rgb="00FCE4D6"/>
      </patternFill>
    </fill>
    <fill>
      <patternFill patternType="solid">
        <fgColor rgb="00C6E0B4"/>
      </patternFill>
    </fill>
    <fill>
      <patternFill patternType="solid">
        <fgColor rgb="00FFF0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pivotButton="0" quotePrefix="0" xfId="0"/>
    <xf numFmtId="0" fontId="16" fillId="0" borderId="0" pivotButton="0" quotePrefix="0" xfId="0"/>
    <xf numFmtId="0" fontId="10" fillId="0" borderId="0" applyAlignment="1" pivotButton="0" quotePrefix="0" xfId="0">
      <alignment vertical="center" wrapText="1"/>
    </xf>
    <xf numFmtId="0" fontId="10" fillId="9" borderId="0" applyAlignment="1" pivotButton="0" quotePrefix="0" xfId="0">
      <alignment vertical="center" wrapText="1"/>
    </xf>
    <xf numFmtId="0" fontId="4" fillId="0" borderId="0" pivotButton="0" quotePrefix="0" xfId="0"/>
    <xf numFmtId="0" fontId="5" fillId="4" borderId="1" applyAlignment="1" pivotButton="0" quotePrefix="0" xfId="0">
      <alignment horizontal="center"/>
    </xf>
    <xf numFmtId="0" fontId="6" fillId="0" borderId="0" applyAlignment="1" pivotButton="0" quotePrefix="0" xfId="0">
      <alignment vertical="center" wrapText="1"/>
    </xf>
    <xf numFmtId="165" fontId="4" fillId="5" borderId="1" applyAlignment="1" pivotButton="0" quotePrefix="0" xfId="0">
      <alignment horizontal="center"/>
    </xf>
    <xf numFmtId="164" fontId="5" fillId="4" borderId="1" applyAlignment="1" pivotButton="0" quotePrefix="0" xfId="0">
      <alignment horizontal="center"/>
    </xf>
    <xf numFmtId="2" fontId="5" fillId="4" borderId="1" applyAlignment="1" pivotButton="0" quotePrefix="0" xfId="0">
      <alignment horizontal="center"/>
    </xf>
    <xf numFmtId="0" fontId="7" fillId="6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4" fillId="0" borderId="1" pivotButton="0" quotePrefix="0" xfId="0"/>
    <xf numFmtId="164" fontId="5" fillId="0" borderId="1" pivotButton="0" quotePrefix="0" xfId="0"/>
    <xf numFmtId="164" fontId="4" fillId="0" borderId="1" pivotButton="0" quotePrefix="0" xfId="0"/>
    <xf numFmtId="0" fontId="0" fillId="5" borderId="1" pivotButton="0" quotePrefix="0" xfId="0"/>
    <xf numFmtId="0" fontId="4" fillId="5" borderId="1" pivotButton="0" quotePrefix="0" xfId="0"/>
    <xf numFmtId="164" fontId="4" fillId="5" borderId="1" pivotButton="0" quotePrefix="0" xfId="0"/>
    <xf numFmtId="0" fontId="8" fillId="0" borderId="0" pivotButton="0" quotePrefix="0" xfId="0"/>
    <xf numFmtId="0" fontId="6" fillId="0" borderId="0" applyAlignment="1" pivotButton="0" quotePrefix="0" xfId="0">
      <alignment vertical="top" wrapText="1"/>
    </xf>
    <xf numFmtId="0" fontId="9" fillId="6" borderId="1" pivotButton="0" quotePrefix="0" xfId="0"/>
    <xf numFmtId="0" fontId="9" fillId="6" borderId="1" applyAlignment="1" pivotButton="0" quotePrefix="0" xfId="0">
      <alignment horizontal="center"/>
    </xf>
    <xf numFmtId="0" fontId="0" fillId="3" borderId="0" pivotButton="0" quotePrefix="0" xfId="0"/>
    <xf numFmtId="0" fontId="10" fillId="0" borderId="1" pivotButton="0" quotePrefix="0" xfId="0"/>
    <xf numFmtId="164" fontId="5" fillId="7" borderId="1" pivotButton="0" quotePrefix="0" xfId="0"/>
    <xf numFmtId="164" fontId="4" fillId="7" borderId="1" pivotButton="0" quotePrefix="0" xfId="0"/>
    <xf numFmtId="0" fontId="6" fillId="0" borderId="1" applyAlignment="1" pivotButton="0" quotePrefix="0" xfId="0">
      <alignment vertical="center" wrapText="1"/>
    </xf>
    <xf numFmtId="164" fontId="11" fillId="0" borderId="1" pivotButton="0" quotePrefix="0" xfId="0"/>
    <xf numFmtId="164" fontId="5" fillId="4" borderId="1" pivotButton="0" quotePrefix="0" xfId="0"/>
    <xf numFmtId="164" fontId="10" fillId="0" borderId="1" pivotButton="0" quotePrefix="0" xfId="0"/>
    <xf numFmtId="164" fontId="10" fillId="7" borderId="1" pivotButton="0" quotePrefix="0" xfId="0"/>
    <xf numFmtId="164" fontId="4" fillId="8" borderId="1" pivotButton="0" quotePrefix="0" xfId="0"/>
    <xf numFmtId="0" fontId="6" fillId="0" borderId="0" pivotButton="0" quotePrefix="0" xfId="0"/>
    <xf numFmtId="0" fontId="0" fillId="0" borderId="1" pivotButton="0" quotePrefix="0" xfId="0"/>
    <xf numFmtId="0" fontId="10" fillId="5" borderId="1" pivotButton="0" quotePrefix="0" xfId="0"/>
    <xf numFmtId="164" fontId="12" fillId="5" borderId="1" pivotButton="0" quotePrefix="0" xfId="0"/>
    <xf numFmtId="0" fontId="4" fillId="8" borderId="1" pivotButton="0" quotePrefix="0" xfId="0"/>
    <xf numFmtId="0" fontId="10" fillId="8" borderId="1" pivotButton="0" quotePrefix="0" xfId="0"/>
    <xf numFmtId="164" fontId="12" fillId="8" borderId="1" pivotButton="0" quotePrefix="0" xfId="0"/>
    <xf numFmtId="0" fontId="0" fillId="8" borderId="1" pivotButton="0" quotePrefix="0" xfId="0"/>
    <xf numFmtId="0" fontId="3" fillId="0" borderId="0" pivotButton="0" quotePrefix="0" xfId="0"/>
    <xf numFmtId="0" fontId="13" fillId="4" borderId="1" applyAlignment="1" pivotButton="0" quotePrefix="0" xfId="0">
      <alignment horizontal="center"/>
    </xf>
    <xf numFmtId="0" fontId="14" fillId="8" borderId="1" pivotButton="0" quotePrefix="0" xfId="0"/>
    <xf numFmtId="164" fontId="15" fillId="8" borderId="1" pivotButton="0" quotePrefix="0" xfId="0"/>
    <xf numFmtId="0" fontId="2" fillId="0" borderId="0" pivotButton="0" quotePrefix="0" xfId="0"/>
    <xf numFmtId="0" fontId="8" fillId="0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8" customWidth="1" min="2" max="2"/>
  </cols>
  <sheetData>
    <row r="1" ht="26" customHeight="1">
      <c r="A1" s="1" t="inlineStr">
        <is>
          <t>RELATÓRIO DE FOLHA PARA A CONTABILIDADE — LOJA TRANCOSO</t>
        </is>
      </c>
    </row>
    <row r="2" ht="18" customHeight="1">
      <c r="A2" s="2" t="inlineStr"/>
    </row>
    <row r="4" ht="20" customHeight="1">
      <c r="A4" s="3" t="inlineStr">
        <is>
          <t>IDENTIFICAÇÃO</t>
        </is>
      </c>
    </row>
    <row r="5" ht="17" customHeight="1">
      <c r="A5" s="4" t="inlineStr"/>
      <c r="B5" s="5" t="inlineStr">
        <is>
          <t>Empresa: Farmácia Tropical Multi Econômica — loja TRANCOSO</t>
        </is>
      </c>
    </row>
    <row r="6" ht="17" customHeight="1">
      <c r="A6" s="4" t="inlineStr"/>
      <c r="B6" s="5" t="inlineStr">
        <is>
          <t>Competência (mês de referência): SETEMBRO/2026 — vendas de 01/09/2026 a 30/09/2026</t>
        </is>
      </c>
    </row>
    <row r="7" ht="17" customHeight="1">
      <c r="A7" s="4" t="inlineStr"/>
      <c r="B7" s="5" t="inlineStr">
        <is>
          <t>Data do pagamento: 05/10/2026</t>
        </is>
      </c>
    </row>
    <row r="8" ht="17" customHeight="1">
      <c r="A8" s="4" t="inlineStr"/>
      <c r="B8" s="5" t="inlineStr">
        <is>
          <t>Fonte das comissões e incentivos: InovaFarma — relatório de comissão de vendedor, a extrair no início de outubro/2026</t>
        </is>
      </c>
    </row>
    <row r="9" ht="17" customHeight="1">
      <c r="A9" s="4" t="inlineStr"/>
      <c r="B9" s="5" t="inlineStr">
        <is>
          <t>Funcionários: UILLIAN, MANOEL, VALDICK, INIURLE, TAMILES</t>
        </is>
      </c>
    </row>
    <row r="10" ht="20" customHeight="1">
      <c r="A10" s="3" t="inlineStr">
        <is>
          <t>COMO USAR ESTE ARQUIVO</t>
        </is>
      </c>
    </row>
    <row r="11" ht="17" customHeight="1">
      <c r="A11" s="4" t="inlineStr"/>
      <c r="B11" s="5" t="inlineStr">
        <is>
          <t>1. Abra a aba HOLERITE SET.26 — é o relatório que vai para a contabilidade.</t>
        </is>
      </c>
    </row>
    <row r="12" ht="17" customHeight="1">
      <c r="A12" s="4" t="inlineStr"/>
      <c r="B12" s="5" t="inlineStr">
        <is>
          <t>2. Preencha as células AMARELAS (horas extras, prêmios, vales, convênio, faltas).</t>
        </is>
      </c>
    </row>
    <row r="13" ht="17" customHeight="1">
      <c r="A13" s="4" t="inlineStr"/>
      <c r="B13" s="5" t="inlineStr">
        <is>
          <t>3. Confira as células LARANJAS — são valores repetidos de julho/2026 que podem ter mudado.</t>
        </is>
      </c>
    </row>
    <row r="14" ht="17" customHeight="1">
      <c r="A14" s="4" t="inlineStr"/>
      <c r="B14" s="5" t="inlineStr">
        <is>
          <t>4. Comissões, incentivos e DSR já vêm calculados; não digite por cima.</t>
        </is>
      </c>
    </row>
    <row r="15" ht="17" customHeight="1">
      <c r="A15" s="4" t="inlineStr"/>
      <c r="B15" s="5" t="inlineStr">
        <is>
          <t>5. A aba GANHOS DO COLABORADOR monta o demonstrativo individual: escolha o nome na lista.</t>
        </is>
      </c>
    </row>
    <row r="16" ht="17" customHeight="1">
      <c r="A16" s="4" t="inlineStr"/>
      <c r="B16" s="5" t="inlineStr">
        <is>
          <t>6. INSS e IRRF ficam em branco: são calculados pela contabilidade.</t>
        </is>
      </c>
    </row>
    <row r="17" ht="20" customHeight="1">
      <c r="A17" s="3" t="inlineStr">
        <is>
          <t>APURAÇÃO DO MÊS</t>
        </is>
      </c>
    </row>
    <row r="18" ht="17" customHeight="1">
      <c r="A18" s="4" t="inlineStr"/>
      <c r="B18" s="5" t="inlineStr">
        <is>
          <t>Venda bruta geral da loja: R$ 0,00 · descontos concedidos: R$ 0,00 · venda líquida: R$ 0,00</t>
        </is>
      </c>
    </row>
    <row r="19" ht="17" customHeight="1">
      <c r="A19" s="4" t="inlineStr"/>
      <c r="B19" s="5" t="inlineStr">
        <is>
          <t>Comissão apurada no InovaFarma: R$ 0,00 · incentivos: R$ 0,00</t>
        </is>
      </c>
    </row>
    <row r="20" ht="17" customHeight="1">
      <c r="A20" s="4" t="inlineStr"/>
      <c r="B20" s="5" t="inlineStr">
        <is>
          <t>DSR de setembro/2026: 4 domingos + os feriados de 07/09 e 08/09 (municipal) = 6 ÷ 24 dias úteis = fator 0,250000</t>
        </is>
      </c>
    </row>
    <row r="21" ht="20" customHeight="1">
      <c r="A21" s="3" t="inlineStr">
        <is>
          <t>DEFINIÇÕES DA LOJA</t>
        </is>
      </c>
    </row>
    <row r="22" ht="17" customHeight="1">
      <c r="A22" s="4" t="inlineStr"/>
      <c r="B22" s="5" t="inlineStr">
        <is>
          <t>TRANCOSO PAGA O DOBRO DA COMISSÃO APURADA: a linha COMISSÃO PRODUTOS já multiplica por 2 o valor do InovaFarma.</t>
        </is>
      </c>
    </row>
    <row r="23" ht="17" customHeight="1">
      <c r="A23" s="4" t="inlineStr"/>
      <c r="B23" s="5" t="inlineStr">
        <is>
          <t>Os incentivos são simples: entram pelo valor apurado, sem dobrar.</t>
        </is>
      </c>
    </row>
    <row r="24" ht="17" customHeight="1">
      <c r="A24" s="4" t="inlineStr"/>
      <c r="B24" s="5" t="inlineStr">
        <is>
          <t>A diferença gerada pela comissão dobrada é reduzida nas premiações.</t>
        </is>
      </c>
    </row>
    <row r="25" ht="17" customHeight="1">
      <c r="A25" s="4" t="inlineStr"/>
      <c r="B25" s="5" t="inlineStr">
        <is>
          <t>UILLIAN: não recebe comissão sobre vendas.</t>
        </is>
      </c>
    </row>
    <row r="26" ht="17" customHeight="1">
      <c r="A26" s="4" t="inlineStr"/>
      <c r="B26" s="5" t="inlineStr">
        <is>
          <t>TAMILES: atestado de 02 a 08/09 abonado — salário integral, sem desconto.</t>
        </is>
      </c>
    </row>
    <row r="27" ht="17" customHeight="1">
      <c r="A27" s="4" t="inlineStr"/>
      <c r="B27" s="5" t="inlineStr">
        <is>
          <t>VALDICK: férias de 01 a 30/09/2026 (mês inteiro) — salário zerado; férias e 1/3 em recibo próprio.</t>
        </is>
      </c>
    </row>
    <row r="28" ht="20" customHeight="1">
      <c r="A28" s="3" t="inlineStr">
        <is>
          <t>PENDÊNCIAS — CONFIRMAR ANTES DE ENVIAR</t>
        </is>
      </c>
    </row>
    <row r="29" ht="17" customHeight="1">
      <c r="A29" s="4" t="inlineStr">
        <is>
          <t>•</t>
        </is>
      </c>
      <c r="B29" s="6" t="inlineStr">
        <is>
          <t>Horas extras, adicional noturno e feriados trabalhados de setembro — lançar na aba PONTO SET.26.</t>
        </is>
      </c>
    </row>
    <row r="30" ht="17" customHeight="1">
      <c r="A30" s="4" t="inlineStr">
        <is>
          <t>•</t>
        </is>
      </c>
      <c r="B30" s="6" t="inlineStr">
        <is>
          <t>Prêmio cota geral e prêmio pré-vencidos, conforme a tabela de metas da loja.</t>
        </is>
      </c>
    </row>
    <row r="31" ht="17" customHeight="1">
      <c r="A31" s="4" t="inlineStr">
        <is>
          <t>•</t>
        </is>
      </c>
      <c r="B31" s="6" t="inlineStr">
        <is>
          <t>Vales adiantados, convênio e faltas de agosto.</t>
        </is>
      </c>
    </row>
    <row r="32" ht="17" customHeight="1">
      <c r="A32" s="4" t="inlineStr">
        <is>
          <t>•</t>
        </is>
      </c>
      <c r="B32" s="6" t="inlineStr">
        <is>
          <t>Férias, afastamentos e admissões que mudem o salário do mês.</t>
        </is>
      </c>
    </row>
    <row r="33" ht="17" customHeight="1">
      <c r="A33" s="4" t="inlineStr">
        <is>
          <t>•</t>
        </is>
      </c>
      <c r="B33" s="6" t="inlineStr">
        <is>
          <t>Extrair o relatório de comissões de setembro no InovaFarma e preencher a aba BASE INOVAFARMA SET.26.</t>
        </is>
      </c>
    </row>
    <row r="34" ht="17" customHeight="1">
      <c r="A34" s="4" t="inlineStr">
        <is>
          <t>•</t>
        </is>
      </c>
      <c r="B34" s="6" t="inlineStr">
        <is>
          <t>TAMILES: se o atestado for prorrogado além de 15 dias corridos, a partir do 16º dia passa a ser auxílio-doença do INSS.</t>
        </is>
      </c>
    </row>
    <row r="35" ht="17" customHeight="1">
      <c r="A35" s="4" t="inlineStr">
        <is>
          <t>•</t>
        </is>
      </c>
      <c r="B35" s="6" t="inlineStr">
        <is>
          <t>Lançar na linha PRÊMIO COTA GERAL o valor já com a redução combinada.</t>
        </is>
      </c>
    </row>
    <row r="36" ht="20" customHeight="1">
      <c r="A36" s="3" t="inlineStr">
        <is>
          <t>OBSERVAÇÃO TÉCNICA</t>
        </is>
      </c>
    </row>
    <row r="37" ht="17" customHeight="1">
      <c r="A37" s="4" t="inlineStr"/>
      <c r="B37" s="5" t="inlineStr">
        <is>
          <t>As células de total e de cálculo são fórmulas. Ao abrir no Excel ou no Google Planilhas elas aparecem calculadas; em visualizadores simples podem aparecer em branco até o arquivo ser aberto.</t>
        </is>
      </c>
    </row>
    <row r="38" ht="20" customHeight="1">
      <c r="A38" s="3" t="inlineStr">
        <is>
          <t>ABAS DO ARQUIVO</t>
        </is>
      </c>
    </row>
    <row r="39" ht="17" customHeight="1">
      <c r="A39" s="4" t="inlineStr"/>
      <c r="B39" s="5" t="inlineStr">
        <is>
          <t>HOLERITE SET.26 — relatório principal da competência setembro/2026.</t>
        </is>
      </c>
    </row>
    <row r="40" ht="17" customHeight="1">
      <c r="A40" s="4" t="inlineStr"/>
      <c r="B40" s="5" t="inlineStr">
        <is>
          <t>GANHOS DO COLABORADOR — demonstrativo individual, pronto para imprimir/mandar.</t>
        </is>
      </c>
    </row>
    <row r="41" ht="17" customHeight="1">
      <c r="A41" s="4" t="inlineStr"/>
      <c r="B41" s="5" t="inlineStr">
        <is>
          <t>LISTA CONTABILIDADE — os mesmos lançamentos em formato de lista.</t>
        </is>
      </c>
    </row>
    <row r="42" ht="17" customHeight="1">
      <c r="A42" s="4" t="inlineStr"/>
      <c r="B42" s="5" t="inlineStr">
        <is>
          <t>BASE INOVAFARMA SET.26 — apuração de comissões e incentivos por vendedor.</t>
        </is>
      </c>
    </row>
    <row r="43" ht="17" customHeight="1">
      <c r="A43" s="4" t="inlineStr"/>
      <c r="B43" s="5" t="inlineStr">
        <is>
          <t>PARÂMETROS — calendário do mês, fator do DSR e valores fixos.</t>
        </is>
      </c>
    </row>
    <row r="44" ht="17" customHeight="1">
      <c r="A44" s="4" t="inlineStr"/>
      <c r="B44" s="5" t="inlineStr">
        <is>
          <t>PONTO SET.26 — horas extras, adicional noturno e feriado trabalhado; alimenta o holerite.</t>
        </is>
      </c>
    </row>
  </sheetData>
  <mergeCells count="9">
    <mergeCell ref="A4:B4"/>
    <mergeCell ref="A21:B21"/>
    <mergeCell ref="A2:B2"/>
    <mergeCell ref="A38:B38"/>
    <mergeCell ref="A10:B10"/>
    <mergeCell ref="A28:B28"/>
    <mergeCell ref="A36:B36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8" customWidth="1" min="2" max="2"/>
    <col width="74" customWidth="1" min="3" max="3"/>
  </cols>
  <sheetData>
    <row r="1" ht="26" customHeight="1">
      <c r="A1" s="1" t="inlineStr">
        <is>
          <t>PARÂMETROS DE CÁLCULO</t>
        </is>
      </c>
    </row>
    <row r="2" ht="18" customHeight="1">
      <c r="A2" s="2" t="inlineStr">
        <is>
          <t>Farmácia Tropical Multi Econômica — loja TRANCOSO — competência SETEMBRO/2026</t>
        </is>
      </c>
    </row>
    <row r="4" ht="20" customHeight="1">
      <c r="A4" s="3" t="inlineStr">
        <is>
          <t>COMPETÊNCIA / PAGAMENTO</t>
        </is>
      </c>
    </row>
    <row r="5">
      <c r="A5" s="7" t="inlineStr">
        <is>
          <t>Competência (mês de referência)</t>
        </is>
      </c>
      <c r="B5" s="8" t="inlineStr">
        <is>
          <t>SETEMBRO/2026</t>
        </is>
      </c>
      <c r="C5" s="9" t="inlineStr">
        <is>
          <t>Vendas de 01/09/2026 a 30/09/2026 (relatório InovaFarma).</t>
        </is>
      </c>
    </row>
    <row r="6">
      <c r="A6" s="7" t="inlineStr">
        <is>
          <t>Data do pagamento</t>
        </is>
      </c>
      <c r="B6" s="8" t="inlineStr">
        <is>
          <t>05/10/2026</t>
        </is>
      </c>
      <c r="C6" s="9" t="inlineStr">
        <is>
          <t>Folha a ser lançada no holerite pago em 05/10/2026.</t>
        </is>
      </c>
    </row>
    <row r="7">
      <c r="A7" s="7" t="inlineStr">
        <is>
          <t>Data de extração do InovaFarma</t>
        </is>
      </c>
      <c r="B7" s="8" t="inlineStr">
        <is>
          <t>a extrair</t>
        </is>
      </c>
      <c r="C7" s="9" t="inlineStr">
        <is>
          <t>Extrair o relatório da loja TRANCOSO no início de outubro/2026 e lançar na aba BASE INOVAFARMA SET.26.</t>
        </is>
      </c>
    </row>
    <row r="8" ht="20" customHeight="1">
      <c r="A8" s="3" t="inlineStr">
        <is>
          <t>CALENDÁRIO DO MÊS (base do DSR)</t>
        </is>
      </c>
    </row>
    <row r="9">
      <c r="A9" s="7" t="inlineStr">
        <is>
          <t>Dias do mês</t>
        </is>
      </c>
      <c r="B9" s="8" t="n">
        <v>30</v>
      </c>
      <c r="C9" s="9" t="inlineStr">
        <is>
          <t>Setembro/2026.</t>
        </is>
      </c>
    </row>
    <row r="10">
      <c r="A10" s="7" t="inlineStr">
        <is>
          <t>Domingos + feriados</t>
        </is>
      </c>
      <c r="B10" s="8" t="n">
        <v>6</v>
      </c>
      <c r="C10" s="9" t="inlineStr">
        <is>
          <t>Domingos: 06, 13, 20 e 27/09/2026, mais os feriados de 07/09 (Independência, segunda) e 08/09 (municipal, terça).</t>
        </is>
      </c>
    </row>
    <row r="11">
      <c r="A11" s="7" t="inlineStr">
        <is>
          <t>Dias úteis (inclui sábados)</t>
        </is>
      </c>
      <c r="B11" s="8">
        <f>B9-B10</f>
        <v/>
      </c>
      <c r="C11" s="9" t="inlineStr">
        <is>
          <t>Dias do mês menos domingos e feriados.</t>
        </is>
      </c>
    </row>
    <row r="12">
      <c r="A12" s="7" t="inlineStr">
        <is>
          <t>Fator DSR (domingos ÷ dias úteis)</t>
        </is>
      </c>
      <c r="B12" s="10">
        <f>B10/B11</f>
        <v/>
      </c>
      <c r="C12" s="9" t="inlineStr">
        <is>
          <t>Domingos ÷ dias úteis. Usado na rubrica REPOUSO REMUNERADO / DSR.</t>
        </is>
      </c>
    </row>
    <row r="13" ht="20" customHeight="1">
      <c r="A13" s="3" t="inlineStr">
        <is>
          <t>VALORES FIXOS / RECORRENTES</t>
        </is>
      </c>
    </row>
    <row r="14">
      <c r="A14" s="7" t="inlineStr">
        <is>
          <t>Salário base (piso 2026)</t>
        </is>
      </c>
      <c r="B14" s="11" t="n">
        <v>1621</v>
      </c>
      <c r="C14" s="9" t="inlineStr">
        <is>
          <t>Valor praticado em ago/2026.</t>
        </is>
      </c>
    </row>
    <row r="15">
      <c r="A15" s="7" t="inlineStr">
        <is>
          <t>Salário do gerente</t>
        </is>
      </c>
      <c r="B15" s="11" t="n">
        <v>5648.41</v>
      </c>
      <c r="C15" s="9" t="inlineStr">
        <is>
          <t>Conforme ago/2026.</t>
        </is>
      </c>
    </row>
    <row r="16">
      <c r="A16" s="7" t="inlineStr">
        <is>
          <t>Horas mensais (base do salário-hora)</t>
        </is>
      </c>
      <c r="B16" s="8" t="n">
        <v>220</v>
      </c>
      <c r="C16" s="9" t="inlineStr">
        <is>
          <t>Salário-hora = salário base ÷ 220.</t>
        </is>
      </c>
    </row>
    <row r="17">
      <c r="A17" s="7" t="inlineStr">
        <is>
          <t>Adicional de hora extra</t>
        </is>
      </c>
      <c r="B17" s="12" t="n">
        <v>0.5</v>
      </c>
      <c r="C17" s="9" t="inlineStr">
        <is>
          <t>50% sobre a hora normal (hora extra = salário-hora × 1,5).</t>
        </is>
      </c>
    </row>
    <row r="18">
      <c r="A18" s="7" t="inlineStr">
        <is>
          <t>Adicional noturno</t>
        </is>
      </c>
      <c r="B18" s="12" t="n">
        <v>0.2</v>
      </c>
      <c r="C18" s="9" t="inlineStr">
        <is>
          <t>20% sobre a hora normal, nas horas entre 22h e 5h.</t>
        </is>
      </c>
    </row>
    <row r="19">
      <c r="A19" s="7" t="inlineStr">
        <is>
          <t>Dias do mês para o salário-dia</t>
        </is>
      </c>
      <c r="B19" s="8" t="n">
        <v>30</v>
      </c>
      <c r="C19" s="9" t="inlineStr">
        <is>
          <t>Salário-dia = salário base ÷ 30. Usado no feriado trabalhado.</t>
        </is>
      </c>
    </row>
    <row r="20">
      <c r="A20" s="7" t="inlineStr">
        <is>
          <t>Multiplicador da comissão</t>
        </is>
      </c>
      <c r="B20" s="12" t="n">
        <v>2</v>
      </c>
      <c r="C20" s="9" t="inlineStr">
        <is>
          <t>TRANCOSO paga o dobro do valor apurado no InovaFarma.</t>
        </is>
      </c>
    </row>
    <row r="21" ht="20" customHeight="1">
      <c r="A21" s="3" t="inlineStr">
        <is>
          <t>INSS / IRRF</t>
        </is>
      </c>
    </row>
    <row r="22">
      <c r="A22" s="7" t="inlineStr">
        <is>
          <t>INSS</t>
        </is>
      </c>
      <c r="B22" s="8" t="inlineStr">
        <is>
          <t>a calcular</t>
        </is>
      </c>
      <c r="C22" s="9" t="inlineStr">
        <is>
          <t>Calculado pela contabilidade sobre o total de proventos (tabela progressiva vigente).</t>
        </is>
      </c>
    </row>
    <row r="23">
      <c r="A23" s="7" t="inlineStr">
        <is>
          <t>IRRF</t>
        </is>
      </c>
      <c r="B23" s="8" t="inlineStr">
        <is>
          <t>a calcular</t>
        </is>
      </c>
      <c r="C23" s="9" t="inlineStr">
        <is>
          <t>Calculado pela contabilidade após dedução do INSS e dependentes.</t>
        </is>
      </c>
    </row>
  </sheetData>
  <mergeCells count="6">
    <mergeCell ref="A13:C13"/>
    <mergeCell ref="A1:C1"/>
    <mergeCell ref="A8:C8"/>
    <mergeCell ref="A21:C21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6" customWidth="1" min="4" max="4"/>
    <col width="16" customWidth="1" min="5" max="5"/>
    <col width="15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26" customHeight="1">
      <c r="A1" s="1" t="inlineStr">
        <is>
          <t>APURAÇÃO DE COMISSÕES E INCENTIVOS — INOVAFARMA</t>
        </is>
      </c>
    </row>
    <row r="2" ht="18" customHeight="1">
      <c r="A2" s="2" t="inlineStr">
        <is>
          <t>Loja TRANCOSO · vendas de 01/09/2026 a 30/09/2026 · PREENCHER com o relatório extraído no início de outubro</t>
        </is>
      </c>
    </row>
    <row r="4" ht="28" customHeight="1">
      <c r="A4" s="13" t="inlineStr">
        <is>
          <t>CÓD.</t>
        </is>
      </c>
      <c r="B4" s="13" t="inlineStr">
        <is>
          <t>VENDEDOR</t>
        </is>
      </c>
      <c r="C4" s="13" t="inlineStr">
        <is>
          <t>VENDA BRUTA</t>
        </is>
      </c>
      <c r="D4" s="13" t="inlineStr">
        <is>
          <t>DESCONTOS</t>
        </is>
      </c>
      <c r="E4" s="13" t="inlineStr">
        <is>
          <t>VENDA LÍQUIDA</t>
        </is>
      </c>
      <c r="F4" s="13" t="inlineStr">
        <is>
          <t>COMISSÃO</t>
        </is>
      </c>
      <c r="G4" s="13" t="inlineStr">
        <is>
          <t>INCENT. APLIC.</t>
        </is>
      </c>
      <c r="H4" s="13" t="inlineStr">
        <is>
          <t>INCENT. VITAM.</t>
        </is>
      </c>
      <c r="I4" s="13" t="inlineStr">
        <is>
          <t>OUTROS INCENT.</t>
        </is>
      </c>
      <c r="J4" s="13" t="inlineStr">
        <is>
          <t>TOTAL INCENT.</t>
        </is>
      </c>
    </row>
    <row r="5">
      <c r="A5" s="14" t="n">
        <v>13</v>
      </c>
      <c r="B5" s="15" t="inlineStr">
        <is>
          <t>UILLIAN</t>
        </is>
      </c>
      <c r="C5" s="16" t="n">
        <v>0</v>
      </c>
      <c r="D5" s="16" t="n">
        <v>0</v>
      </c>
      <c r="E5" s="16" t="n">
        <v>0</v>
      </c>
      <c r="F5" s="16" t="n">
        <v>0</v>
      </c>
      <c r="G5" s="16" t="n">
        <v>0</v>
      </c>
      <c r="H5" s="16" t="n">
        <v>0</v>
      </c>
      <c r="I5" s="16" t="n">
        <v>0</v>
      </c>
      <c r="J5" s="17">
        <f>SUM(G5:I5)</f>
        <v/>
      </c>
    </row>
    <row r="6">
      <c r="A6" s="14" t="n">
        <v>92</v>
      </c>
      <c r="B6" s="15" t="inlineStr">
        <is>
          <t>MANOEL</t>
        </is>
      </c>
      <c r="C6" s="16" t="n">
        <v>0</v>
      </c>
      <c r="D6" s="16" t="n">
        <v>0</v>
      </c>
      <c r="E6" s="16" t="n">
        <v>0</v>
      </c>
      <c r="F6" s="16" t="n">
        <v>0</v>
      </c>
      <c r="G6" s="16" t="n">
        <v>0</v>
      </c>
      <c r="H6" s="16" t="n">
        <v>0</v>
      </c>
      <c r="I6" s="16" t="n">
        <v>0</v>
      </c>
      <c r="J6" s="17">
        <f>SUM(G6:I6)</f>
        <v/>
      </c>
    </row>
    <row r="7">
      <c r="A7" s="14" t="n">
        <v>162</v>
      </c>
      <c r="B7" s="15" t="inlineStr">
        <is>
          <t>VALDICK</t>
        </is>
      </c>
      <c r="C7" s="16" t="n">
        <v>0</v>
      </c>
      <c r="D7" s="16" t="n">
        <v>0</v>
      </c>
      <c r="E7" s="16" t="n">
        <v>0</v>
      </c>
      <c r="F7" s="16" t="n">
        <v>0</v>
      </c>
      <c r="G7" s="16" t="n">
        <v>0</v>
      </c>
      <c r="H7" s="16" t="n">
        <v>0</v>
      </c>
      <c r="I7" s="16" t="n">
        <v>0</v>
      </c>
      <c r="J7" s="17">
        <f>SUM(G7:I7)</f>
        <v/>
      </c>
    </row>
    <row r="8">
      <c r="A8" s="14" t="n">
        <v>83</v>
      </c>
      <c r="B8" s="15" t="inlineStr">
        <is>
          <t>INIURLE</t>
        </is>
      </c>
      <c r="C8" s="16" t="n">
        <v>0</v>
      </c>
      <c r="D8" s="16" t="n">
        <v>0</v>
      </c>
      <c r="E8" s="16" t="n">
        <v>0</v>
      </c>
      <c r="F8" s="16" t="n">
        <v>0</v>
      </c>
      <c r="G8" s="16" t="n">
        <v>0</v>
      </c>
      <c r="H8" s="16" t="n">
        <v>0</v>
      </c>
      <c r="I8" s="16" t="n">
        <v>0</v>
      </c>
      <c r="J8" s="17">
        <f>SUM(G8:I8)</f>
        <v/>
      </c>
    </row>
    <row r="9">
      <c r="A9" s="14" t="n">
        <v>103</v>
      </c>
      <c r="B9" s="15" t="inlineStr">
        <is>
          <t>TAMILES</t>
        </is>
      </c>
      <c r="C9" s="16" t="n">
        <v>0</v>
      </c>
      <c r="D9" s="16" t="n">
        <v>0</v>
      </c>
      <c r="E9" s="16" t="n">
        <v>0</v>
      </c>
      <c r="F9" s="16" t="n">
        <v>0</v>
      </c>
      <c r="G9" s="16" t="n">
        <v>0</v>
      </c>
      <c r="H9" s="16" t="n">
        <v>0</v>
      </c>
      <c r="I9" s="16" t="n">
        <v>0</v>
      </c>
      <c r="J9" s="17">
        <f>SUM(G9:I9)</f>
        <v/>
      </c>
    </row>
    <row r="10">
      <c r="A10" s="18" t="n"/>
      <c r="B10" s="19" t="inlineStr">
        <is>
          <t>TOTAL FUNCIONÁRIOS</t>
        </is>
      </c>
      <c r="C10" s="20">
        <f>SUM(C5:C9)</f>
        <v/>
      </c>
      <c r="D10" s="20">
        <f>SUM(D5:D9)</f>
        <v/>
      </c>
      <c r="E10" s="20">
        <f>SUM(E5:E9)</f>
        <v/>
      </c>
      <c r="F10" s="20">
        <f>SUM(F5:F9)</f>
        <v/>
      </c>
      <c r="G10" s="20">
        <f>SUM(G5:G9)</f>
        <v/>
      </c>
      <c r="H10" s="20">
        <f>SUM(H5:H9)</f>
        <v/>
      </c>
      <c r="I10" s="20">
        <f>SUM(I5:I9)</f>
        <v/>
      </c>
      <c r="J10" s="20">
        <f>SUM(J5:J9)</f>
        <v/>
      </c>
    </row>
    <row r="12">
      <c r="A12" s="21" t="inlineStr">
        <is>
          <t>Códigos sem vínculo de folha nesta loja:</t>
        </is>
      </c>
    </row>
    <row r="14" ht="26" customHeight="1">
      <c r="A14" s="22" t="inlineStr">
        <is>
          <t>CONFERÊNCIA — total geral do relatório: venda bruta R$ 0,00 · descontos R$ 0,00 · venda líquida R$ 0,00 · comissão R$ 0,00 · incentivo R$ 0,00,</t>
        </is>
      </c>
    </row>
    <row r="15" ht="26" customHeight="1">
      <c r="A15" s="22" t="inlineStr">
        <is>
          <t>INCENT. APLIC. = incentivo do grupo INJETÁVEIS (aplicações). INCENT. VITAM. = grupo APLICAÇÃO E VITAMINAS INCENTIVO. OUTROS INCENT. = populares, oficinais e similar normal.</t>
        </is>
      </c>
    </row>
    <row r="16" ht="26" customHeight="1">
      <c r="A16" s="22" t="inlineStr">
        <is>
          <t>PREENCHER esta aba com o relatório de comissões de setembro/2026, extraído do InovaFarma no início de outubro. Enquanto estiver zerada, o holerite fica só com salário e rubricas fixas.</t>
        </is>
      </c>
    </row>
    <row r="17" ht="26" customHeight="1">
      <c r="A17" s="22" t="inlineStr">
        <is>
          <t>A comissão desta aba é a APURADA pelo sistema, sem multiplicador. O valor que vai para a folha está na aba HOLERITE SET.26.</t>
        </is>
      </c>
    </row>
    <row r="18" ht="26" customHeight="1">
      <c r="A18" s="22" t="inlineStr">
        <is>
          <t>UILLIAN não recebe comissão em folha: no caso dele(a) a comissão apurada acima é apenas informativa.</t>
        </is>
      </c>
    </row>
    <row r="19" ht="26" customHeight="1">
      <c r="A19" s="22" t="inlineStr">
        <is>
          <t>ATENÇÃO: nesta loja a comissão paga é o DOBRO do valor apurado acima.</t>
        </is>
      </c>
    </row>
  </sheetData>
  <autoFilter ref="A4:J9"/>
  <mergeCells count="8">
    <mergeCell ref="A1:J1"/>
    <mergeCell ref="A14:J14"/>
    <mergeCell ref="A17:J17"/>
    <mergeCell ref="A2:J2"/>
    <mergeCell ref="A18:J18"/>
    <mergeCell ref="A15:J15"/>
    <mergeCell ref="A16:J16"/>
    <mergeCell ref="A19:J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62" customWidth="1" min="8" max="8"/>
  </cols>
  <sheetData>
    <row r="1" ht="26" customHeight="1">
      <c r="A1" s="1" t="inlineStr">
        <is>
          <t>RELATÓRIO PARA A CONTABILIDADE — LANÇAMENTO EM HOLERITE</t>
        </is>
      </c>
    </row>
    <row r="2" ht="18" customHeight="1">
      <c r="A2" s="2" t="inlineStr">
        <is>
          <t>Loja TRANCOSO · competência SETEMBRO/2026 (01/08 a 31/08/2026) · pagamento em 05/09/2026</t>
        </is>
      </c>
    </row>
    <row r="4" ht="20" customHeight="1">
      <c r="A4" s="23" t="inlineStr">
        <is>
          <t>RUBRICA</t>
        </is>
      </c>
      <c r="B4" s="24" t="inlineStr">
        <is>
          <t>UILLIAN</t>
        </is>
      </c>
      <c r="C4" s="24" t="inlineStr">
        <is>
          <t>MANOEL</t>
        </is>
      </c>
      <c r="D4" s="24" t="inlineStr">
        <is>
          <t>VALDICK</t>
        </is>
      </c>
      <c r="E4" s="24" t="inlineStr">
        <is>
          <t>INIURLE</t>
        </is>
      </c>
      <c r="F4" s="24" t="inlineStr">
        <is>
          <t>TAMILES</t>
        </is>
      </c>
      <c r="G4" s="24" t="inlineStr">
        <is>
          <t>TOTAL</t>
        </is>
      </c>
      <c r="H4" s="23" t="inlineStr">
        <is>
          <t>ORIGEM / OBSERVAÇÃO</t>
        </is>
      </c>
    </row>
    <row r="5" ht="19" customHeight="1">
      <c r="A5" s="3" t="inlineStr">
        <is>
          <t>PROVENTOS</t>
        </is>
      </c>
      <c r="B5" s="25" t="n"/>
      <c r="C5" s="25" t="n"/>
      <c r="D5" s="25" t="n"/>
      <c r="E5" s="25" t="n"/>
      <c r="F5" s="25" t="n"/>
      <c r="G5" s="25" t="n"/>
      <c r="H5" s="25" t="n"/>
    </row>
    <row r="6">
      <c r="A6" s="26" t="inlineStr">
        <is>
          <t>SALÁRIO BASE</t>
        </is>
      </c>
      <c r="B6" s="27" t="n">
        <v>5648.41</v>
      </c>
      <c r="C6" s="27" t="n">
        <v>1621</v>
      </c>
      <c r="D6" s="27" t="n">
        <v>0</v>
      </c>
      <c r="E6" s="27" t="n">
        <v>1621</v>
      </c>
      <c r="F6" s="27" t="n">
        <v>1621</v>
      </c>
      <c r="G6" s="28">
        <f>SUM(B6:F6)</f>
        <v/>
      </c>
      <c r="H6" s="29" t="inlineStr">
        <is>
          <t>Piso 2026 R$ 1.621,00; gerente conforme ago/2026. CONFERIR admissões, afastamentos e férias do mês.</t>
        </is>
      </c>
    </row>
    <row r="7">
      <c r="A7" s="26" t="inlineStr">
        <is>
          <t>ADICIONAL NOTURNO</t>
        </is>
      </c>
      <c r="B7" s="30">
        <f>SUMIFS('PONTO SET.26'!$G$5:$G$14,'PONTO SET.26'!$A$5:$A$14,B$4,'PONTO SET.26'!$H$5:$H$14,"ADICIONAL NOTURNO")</f>
        <v/>
      </c>
      <c r="C7" s="30">
        <f>SUMIFS('PONTO SET.26'!$G$5:$G$14,'PONTO SET.26'!$A$5:$A$14,C$4,'PONTO SET.26'!$H$5:$H$14,"ADICIONAL NOTURNO")</f>
        <v/>
      </c>
      <c r="D7" s="30">
        <f>SUMIFS('PONTO SET.26'!$G$5:$G$14,'PONTO SET.26'!$A$5:$A$14,D$4,'PONTO SET.26'!$H$5:$H$14,"ADICIONAL NOTURNO")</f>
        <v/>
      </c>
      <c r="E7" s="30">
        <f>SUMIFS('PONTO SET.26'!$G$5:$G$14,'PONTO SET.26'!$A$5:$A$14,E$4,'PONTO SET.26'!$H$5:$H$14,"ADICIONAL NOTURNO")</f>
        <v/>
      </c>
      <c r="F7" s="30">
        <f>SUMIFS('PONTO SET.26'!$G$5:$G$14,'PONTO SET.26'!$A$5:$A$14,F$4,'PONTO SET.26'!$H$5:$H$14,"ADICIONAL NOTURNO")</f>
        <v/>
      </c>
      <c r="G7" s="20">
        <f>SUM(B7:F7)</f>
        <v/>
      </c>
      <c r="H7" s="29" t="inlineStr">
        <is>
          <t>Somado automaticamente da aba PONTO SET.26 (apontamento de setembro/2026). Para mudar, edite lá.</t>
        </is>
      </c>
    </row>
    <row r="8">
      <c r="A8" s="26" t="inlineStr">
        <is>
          <t>HORAS EXTRAS</t>
        </is>
      </c>
      <c r="B8" s="30">
        <f>SUMIFS('PONTO SET.26'!$G$5:$G$14,'PONTO SET.26'!$A$5:$A$14,B$4,'PONTO SET.26'!$H$5:$H$14,"HORAS EXTRAS")</f>
        <v/>
      </c>
      <c r="C8" s="30">
        <f>SUMIFS('PONTO SET.26'!$G$5:$G$14,'PONTO SET.26'!$A$5:$A$14,C$4,'PONTO SET.26'!$H$5:$H$14,"HORAS EXTRAS")</f>
        <v/>
      </c>
      <c r="D8" s="30">
        <f>SUMIFS('PONTO SET.26'!$G$5:$G$14,'PONTO SET.26'!$A$5:$A$14,D$4,'PONTO SET.26'!$H$5:$H$14,"HORAS EXTRAS")</f>
        <v/>
      </c>
      <c r="E8" s="30">
        <f>SUMIFS('PONTO SET.26'!$G$5:$G$14,'PONTO SET.26'!$A$5:$A$14,E$4,'PONTO SET.26'!$H$5:$H$14,"HORAS EXTRAS")</f>
        <v/>
      </c>
      <c r="F8" s="30">
        <f>SUMIFS('PONTO SET.26'!$G$5:$G$14,'PONTO SET.26'!$A$5:$A$14,F$4,'PONTO SET.26'!$H$5:$H$14,"HORAS EXTRAS")</f>
        <v/>
      </c>
      <c r="G8" s="20">
        <f>SUM(B8:F8)</f>
        <v/>
      </c>
      <c r="H8" s="29" t="inlineStr">
        <is>
          <t>Somado automaticamente da aba PONTO SET.26 (apontamento de setembro/2026). Para mudar, edite lá.</t>
        </is>
      </c>
    </row>
    <row r="9">
      <c r="A9" s="26" t="inlineStr">
        <is>
          <t>COMISSÃO PRODUTOS (INOVAFARMA)</t>
        </is>
      </c>
      <c r="B9" s="30" t="n">
        <v>0</v>
      </c>
      <c r="C9" s="30">
        <f>ROUND('BASE INOVAFARMA SET.26'!F6*PARÂMETROS!$B$20,2)</f>
        <v/>
      </c>
      <c r="D9" s="30">
        <f>ROUND('BASE INOVAFARMA SET.26'!F7*PARÂMETROS!$B$20,2)</f>
        <v/>
      </c>
      <c r="E9" s="30">
        <f>ROUND('BASE INOVAFARMA SET.26'!F8*PARÂMETROS!$B$20,2)</f>
        <v/>
      </c>
      <c r="F9" s="30">
        <f>ROUND('BASE INOVAFARMA SET.26'!F9*PARÂMETROS!$B$20,2)</f>
        <v/>
      </c>
      <c r="G9" s="20">
        <f>SUM(B9:F9)</f>
        <v/>
      </c>
      <c r="H9" s="29" t="inlineStr">
        <is>
          <t>Apurado no InovaFarma (aba BASE INOVAFARMA SET.26), JÁ MULTIPLICADO POR 2 (multiplicador na aba PARÂMETROS). UILLIAN não recebe(m) comissão — lançado zero.</t>
        </is>
      </c>
    </row>
    <row r="10">
      <c r="A10" s="26" t="inlineStr">
        <is>
          <t>COMPLEMENTO / COMISSÃO PDV</t>
        </is>
      </c>
      <c r="B10" s="31" t="n"/>
      <c r="C10" s="31" t="n"/>
      <c r="D10" s="31" t="n"/>
      <c r="E10" s="31" t="n"/>
      <c r="F10" s="31" t="n"/>
      <c r="G10" s="20">
        <f>SUM(B10:F10)</f>
        <v/>
      </c>
      <c r="H10" s="29" t="inlineStr">
        <is>
          <t>PREENCHER: PDV antigos e complementos de comissão acordados, se houver.</t>
        </is>
      </c>
    </row>
    <row r="11">
      <c r="A11" s="15" t="inlineStr">
        <is>
          <t>COMISSÃO TOTAL (soma)</t>
        </is>
      </c>
      <c r="B11" s="20">
        <f>SUM(B9:B10)</f>
        <v/>
      </c>
      <c r="C11" s="20">
        <f>SUM(C9:C10)</f>
        <v/>
      </c>
      <c r="D11" s="20">
        <f>SUM(D9:D10)</f>
        <v/>
      </c>
      <c r="E11" s="20">
        <f>SUM(E9:E10)</f>
        <v/>
      </c>
      <c r="F11" s="20">
        <f>SUM(F9:F10)</f>
        <v/>
      </c>
      <c r="G11" s="20">
        <f>SUM(B11:F11)</f>
        <v/>
      </c>
      <c r="H11" s="29" t="inlineStr">
        <is>
          <t>Base do DSR junto com as horas extras.</t>
        </is>
      </c>
    </row>
    <row r="12">
      <c r="A12" s="26" t="inlineStr">
        <is>
          <t>REPOUSO REMUNERADO / DSR</t>
        </is>
      </c>
      <c r="B12" s="32">
        <f>ROUND((B11+B8)*PARÂMETROS!$B$12,2)</f>
        <v/>
      </c>
      <c r="C12" s="32">
        <f>ROUND((C11+C8)*PARÂMETROS!$B$12,2)</f>
        <v/>
      </c>
      <c r="D12" s="32">
        <f>ROUND((D11+D8)*PARÂMETROS!$B$12,2)</f>
        <v/>
      </c>
      <c r="E12" s="32">
        <f>ROUND((E11+E8)*PARÂMETROS!$B$12,2)</f>
        <v/>
      </c>
      <c r="F12" s="32">
        <f>ROUND((F11+F8)*PARÂMETROS!$B$12,2)</f>
        <v/>
      </c>
      <c r="G12" s="20">
        <f>SUM(B12:F12)</f>
        <v/>
      </c>
      <c r="H12" s="29" t="inlineStr">
        <is>
          <t>Cálculo: (comissão total + horas extras) × (4 domingos + feriados de 07/09 e 08/09) ÷ 24 dias úteis de setembro/2026.</t>
        </is>
      </c>
    </row>
    <row r="13">
      <c r="A13" s="26" t="inlineStr">
        <is>
          <t>AUXÍLIO GERÊNCIA</t>
        </is>
      </c>
      <c r="B13" s="31" t="n"/>
      <c r="C13" s="31" t="n"/>
      <c r="D13" s="31" t="n"/>
      <c r="E13" s="31" t="n"/>
      <c r="F13" s="31" t="n"/>
      <c r="G13" s="20">
        <f>SUM(B13:F13)</f>
        <v/>
      </c>
      <c r="H13" s="29" t="inlineStr">
        <is>
          <t>Conforme acordo da loja.</t>
        </is>
      </c>
    </row>
    <row r="14">
      <c r="A14" s="26" t="inlineStr">
        <is>
          <t>ADICIONAL PRÊMIO META CAIXA</t>
        </is>
      </c>
      <c r="B14" s="31" t="n"/>
      <c r="C14" s="31" t="n"/>
      <c r="D14" s="31" t="n"/>
      <c r="E14" s="31" t="n"/>
      <c r="F14" s="31" t="n"/>
      <c r="G14" s="20">
        <f>SUM(B14:F14)</f>
        <v/>
      </c>
      <c r="H14" s="29" t="inlineStr">
        <is>
          <t>Conforme apuração do caixa.</t>
        </is>
      </c>
    </row>
    <row r="15">
      <c r="A15" s="26" t="inlineStr">
        <is>
          <t>PRÊMIO COTA GERAL</t>
        </is>
      </c>
      <c r="B15" s="27" t="n"/>
      <c r="C15" s="27" t="n"/>
      <c r="D15" s="27" t="n"/>
      <c r="E15" s="27" t="n"/>
      <c r="F15" s="27" t="n"/>
      <c r="G15" s="28">
        <f>SUM(B15:F15)</f>
        <v/>
      </c>
      <c r="H15" s="29" t="inlineStr">
        <is>
          <t>PREENCHER conforme a tabela de metas da loja (aba METAS da planilha original). Lançar já com a redução combinada para compensar o aumento da comissão dobrada.</t>
        </is>
      </c>
    </row>
    <row r="16">
      <c r="A16" s="26" t="inlineStr">
        <is>
          <t>PRÊMIO PRÉ-VENCIDOS</t>
        </is>
      </c>
      <c r="B16" s="31" t="n"/>
      <c r="C16" s="31" t="n"/>
      <c r="D16" s="31" t="n"/>
      <c r="E16" s="31" t="n"/>
      <c r="F16" s="31" t="n"/>
      <c r="G16" s="20">
        <f>SUM(B16:F16)</f>
        <v/>
      </c>
      <c r="H16" s="29" t="inlineStr">
        <is>
          <t>PREENCHER conforme a apuração de pré-vencidos de setembro.</t>
        </is>
      </c>
    </row>
    <row r="17">
      <c r="A17" s="26" t="inlineStr">
        <is>
          <t>FÉRIAS (DIAS GOZADOS)</t>
        </is>
      </c>
      <c r="B17" s="31" t="n"/>
      <c r="C17" s="31" t="n"/>
      <c r="D17" s="31" t="n"/>
      <c r="E17" s="31" t="n"/>
      <c r="F17" s="31" t="n"/>
      <c r="G17" s="20">
        <f>SUM(B17:F17)</f>
        <v/>
      </c>
      <c r="H17" s="29" t="inlineStr">
        <is>
          <t>PREENCHER se houve férias no mês; informar o período.</t>
        </is>
      </c>
    </row>
    <row r="18">
      <c r="A18" s="26" t="inlineStr">
        <is>
          <t>1/3 CONSTITUCIONAL DE FÉRIAS</t>
        </is>
      </c>
      <c r="B18" s="31" t="n"/>
      <c r="C18" s="31" t="n"/>
      <c r="D18" s="31" t="n"/>
      <c r="E18" s="31" t="n"/>
      <c r="F18" s="31" t="n"/>
      <c r="G18" s="20">
        <f>SUM(B18:F18)</f>
        <v/>
      </c>
      <c r="H18" s="29" t="inlineStr">
        <is>
          <t>Calculado pela contabilidade sobre o valor das férias.</t>
        </is>
      </c>
    </row>
    <row r="19">
      <c r="A19" s="26" t="inlineStr">
        <is>
          <t>INCENTIVO APLICAÇÕES</t>
        </is>
      </c>
      <c r="B19" s="30">
        <f>'BASE INOVAFARMA SET.26'!G5</f>
        <v/>
      </c>
      <c r="C19" s="30">
        <f>'BASE INOVAFARMA SET.26'!G6</f>
        <v/>
      </c>
      <c r="D19" s="30">
        <f>'BASE INOVAFARMA SET.26'!G7</f>
        <v/>
      </c>
      <c r="E19" s="30">
        <f>'BASE INOVAFARMA SET.26'!G8</f>
        <v/>
      </c>
      <c r="F19" s="30">
        <f>'BASE INOVAFARMA SET.26'!G9</f>
        <v/>
      </c>
      <c r="G19" s="20">
        <f>SUM(B19:F19)</f>
        <v/>
      </c>
      <c r="H19" s="29" t="inlineStr">
        <is>
          <t>Incentivo de injetáveis apurado no InovaFarma. Incentivo é simples: NÃO entra em dobro.</t>
        </is>
      </c>
    </row>
    <row r="20">
      <c r="A20" s="26" t="inlineStr">
        <is>
          <t>INCENTIVO VITAMINAS</t>
        </is>
      </c>
      <c r="B20" s="30">
        <f>'BASE INOVAFARMA SET.26'!H5</f>
        <v/>
      </c>
      <c r="C20" s="30">
        <f>'BASE INOVAFARMA SET.26'!H6</f>
        <v/>
      </c>
      <c r="D20" s="30">
        <f>'BASE INOVAFARMA SET.26'!H7</f>
        <v/>
      </c>
      <c r="E20" s="30">
        <f>'BASE INOVAFARMA SET.26'!H8</f>
        <v/>
      </c>
      <c r="F20" s="30">
        <f>'BASE INOVAFARMA SET.26'!H9</f>
        <v/>
      </c>
      <c r="G20" s="20">
        <f>SUM(B20:F20)</f>
        <v/>
      </c>
      <c r="H20" s="29" t="inlineStr">
        <is>
          <t>Grupo APLICAÇÃO E VITAMINAS INCENTIVO no InovaFarma.</t>
        </is>
      </c>
    </row>
    <row r="21">
      <c r="A21" s="26" t="inlineStr">
        <is>
          <t>OUTROS INCENTIVOS</t>
        </is>
      </c>
      <c r="B21" s="30">
        <f>'BASE INOVAFARMA SET.26'!I5</f>
        <v/>
      </c>
      <c r="C21" s="30">
        <f>'BASE INOVAFARMA SET.26'!I6</f>
        <v/>
      </c>
      <c r="D21" s="30">
        <f>'BASE INOVAFARMA SET.26'!I7</f>
        <v/>
      </c>
      <c r="E21" s="30">
        <f>'BASE INOVAFARMA SET.26'!I8</f>
        <v/>
      </c>
      <c r="F21" s="30">
        <f>'BASE INOVAFARMA SET.26'!I9</f>
        <v/>
      </c>
      <c r="G21" s="20">
        <f>SUM(B21:F21)</f>
        <v/>
      </c>
      <c r="H21" s="29" t="inlineStr">
        <is>
          <t>Populares, oficinais e similar normal.</t>
        </is>
      </c>
    </row>
    <row r="22">
      <c r="A22" s="15" t="inlineStr">
        <is>
          <t>TOTAL DE PROVENTOS</t>
        </is>
      </c>
      <c r="B22" s="20">
        <f>SUM(B6:B21)-B9-B10</f>
        <v/>
      </c>
      <c r="C22" s="20">
        <f>SUM(C6:C21)-C9-C10</f>
        <v/>
      </c>
      <c r="D22" s="20">
        <f>SUM(D6:D21)-D9-D10</f>
        <v/>
      </c>
      <c r="E22" s="20">
        <f>SUM(E6:E21)-E9-E10</f>
        <v/>
      </c>
      <c r="F22" s="20">
        <f>SUM(F6:F21)-F9-F10</f>
        <v/>
      </c>
      <c r="G22" s="20">
        <f>SUM(B22:F22)</f>
        <v/>
      </c>
      <c r="H22" s="29" t="inlineStr">
        <is>
          <t>Soma das rubricas acima (a linha COMISSÃO TOTAL já engloba a comissão do InovaFarma e o complemento).</t>
        </is>
      </c>
    </row>
    <row r="23" ht="19" customHeight="1">
      <c r="A23" s="3" t="inlineStr">
        <is>
          <t>DESCONTOS  (lançar com sinal negativo)</t>
        </is>
      </c>
      <c r="B23" s="25" t="n"/>
      <c r="C23" s="25" t="n"/>
      <c r="D23" s="25" t="n"/>
      <c r="E23" s="25" t="n"/>
      <c r="F23" s="25" t="n"/>
      <c r="G23" s="25" t="n"/>
      <c r="H23" s="25" t="n"/>
    </row>
    <row r="24">
      <c r="A24" s="26" t="inlineStr">
        <is>
          <t>ADIANTAMENTO SALARIAL / VALES</t>
        </is>
      </c>
      <c r="B24" s="31" t="n"/>
      <c r="C24" s="31" t="n"/>
      <c r="D24" s="31" t="n"/>
      <c r="E24" s="31" t="n"/>
      <c r="F24" s="31" t="n"/>
      <c r="G24" s="20">
        <f>SUM(B24:F24)</f>
        <v/>
      </c>
      <c r="H24" s="29" t="inlineStr">
        <is>
          <t xml:space="preserve">PREENCHER com os vales adiantados durante setembro. </t>
        </is>
      </c>
    </row>
    <row r="25">
      <c r="A25" s="26" t="inlineStr">
        <is>
          <t>ADIANT. VALES INCENT. E APLIC.</t>
        </is>
      </c>
      <c r="B25" s="33">
        <f>-(B19+B20+B21)</f>
        <v/>
      </c>
      <c r="C25" s="33">
        <f>-(C19+C20+C21)</f>
        <v/>
      </c>
      <c r="D25" s="33">
        <f>-(D19+D20+D21)</f>
        <v/>
      </c>
      <c r="E25" s="33">
        <f>-(E19+E20+E21)</f>
        <v/>
      </c>
      <c r="F25" s="33">
        <f>-(F19+F20+F21)</f>
        <v/>
      </c>
      <c r="G25" s="28">
        <f>SUM(B25:F25)</f>
        <v/>
      </c>
      <c r="H25" s="29" t="inlineStr">
        <is>
          <t>Estorno dos incentivos já adiantados em dinheiro no mês. AJUSTAR se algum incentivo não foi adiantado.</t>
        </is>
      </c>
    </row>
    <row r="26">
      <c r="A26" s="26" t="inlineStr">
        <is>
          <t>CONVÊNIO</t>
        </is>
      </c>
      <c r="B26" s="31" t="n"/>
      <c r="C26" s="31" t="n"/>
      <c r="D26" s="31" t="n"/>
      <c r="E26" s="31" t="n"/>
      <c r="F26" s="31" t="n"/>
      <c r="G26" s="20">
        <f>SUM(B26:F26)</f>
        <v/>
      </c>
      <c r="H26" s="29" t="inlineStr">
        <is>
          <t>PREENCHER conforme o convênio de setembro.</t>
        </is>
      </c>
    </row>
    <row r="27">
      <c r="A27" s="26" t="inlineStr">
        <is>
          <t>DESCONTO FALTAS / ATRASOS</t>
        </is>
      </c>
      <c r="B27" s="31" t="n"/>
      <c r="C27" s="31" t="n"/>
      <c r="D27" s="31" t="n"/>
      <c r="E27" s="31" t="n"/>
      <c r="F27" s="31" t="n"/>
      <c r="G27" s="20">
        <f>SUM(B27:F27)</f>
        <v/>
      </c>
      <c r="H27" s="29" t="inlineStr">
        <is>
          <t>PREENCHER conforme o ponto.</t>
        </is>
      </c>
    </row>
    <row r="28">
      <c r="A28" s="26" t="inlineStr">
        <is>
          <t>DESCONTO VALE TRANSPORTE 6%</t>
        </is>
      </c>
      <c r="B28" s="27" t="n"/>
      <c r="C28" s="27" t="n"/>
      <c r="D28" s="27" t="n"/>
      <c r="E28" s="27" t="n"/>
      <c r="F28" s="27" t="n"/>
      <c r="G28" s="28">
        <f>SUM(B28:F28)</f>
        <v/>
      </c>
      <c r="H28" s="29" t="inlineStr">
        <is>
          <t>Valores praticados em ago/26. 6% sobre R$ 1.621,00 seria R$ 97,26 — CONFERIR a base usada.</t>
        </is>
      </c>
    </row>
    <row r="29">
      <c r="A29" s="26" t="inlineStr">
        <is>
          <t>DESCONTO INSS</t>
        </is>
      </c>
      <c r="B29" s="31" t="n"/>
      <c r="C29" s="31" t="n"/>
      <c r="D29" s="31" t="n"/>
      <c r="E29" s="31" t="n"/>
      <c r="F29" s="31" t="n"/>
      <c r="G29" s="20">
        <f>SUM(B29:F29)</f>
        <v/>
      </c>
      <c r="H29" s="29" t="inlineStr">
        <is>
          <t>A CALCULAR PELA CONTABILIDADE sobre o total de proventos.</t>
        </is>
      </c>
    </row>
    <row r="30">
      <c r="A30" s="26" t="inlineStr">
        <is>
          <t>DESCONTO IRRF</t>
        </is>
      </c>
      <c r="B30" s="31" t="n"/>
      <c r="C30" s="31" t="n"/>
      <c r="D30" s="31" t="n"/>
      <c r="E30" s="31" t="n"/>
      <c r="F30" s="31" t="n"/>
      <c r="G30" s="20">
        <f>SUM(B30:F30)</f>
        <v/>
      </c>
      <c r="H30" s="29" t="inlineStr">
        <is>
          <t>A CALCULAR PELA CONTABILIDADE.</t>
        </is>
      </c>
    </row>
    <row r="31">
      <c r="A31" s="15" t="inlineStr">
        <is>
          <t>TOTAL DE DESCONTOS</t>
        </is>
      </c>
      <c r="B31" s="20">
        <f>SUM(B24:B30)</f>
        <v/>
      </c>
      <c r="C31" s="20">
        <f>SUM(C24:C30)</f>
        <v/>
      </c>
      <c r="D31" s="20">
        <f>SUM(D24:D30)</f>
        <v/>
      </c>
      <c r="E31" s="20">
        <f>SUM(E24:E30)</f>
        <v/>
      </c>
      <c r="F31" s="20">
        <f>SUM(F24:F30)</f>
        <v/>
      </c>
      <c r="G31" s="20">
        <f>SUM(B31:F31)</f>
        <v/>
      </c>
      <c r="H31" s="29" t="inlineStr"/>
    </row>
    <row r="32" ht="19" customHeight="1">
      <c r="A32" s="3" t="inlineStr">
        <is>
          <t>LÍQUIDO</t>
        </is>
      </c>
      <c r="B32" s="25" t="n"/>
      <c r="C32" s="25" t="n"/>
      <c r="D32" s="25" t="n"/>
      <c r="E32" s="25" t="n"/>
      <c r="F32" s="25" t="n"/>
      <c r="G32" s="25" t="n"/>
      <c r="H32" s="25" t="n"/>
    </row>
    <row r="33">
      <c r="A33" s="15" t="inlineStr">
        <is>
          <t>LÍQUIDO A RECEBER (05/10/2026)</t>
        </is>
      </c>
      <c r="B33" s="34">
        <f>B22+B31</f>
        <v/>
      </c>
      <c r="C33" s="34">
        <f>C22+C31</f>
        <v/>
      </c>
      <c r="D33" s="34">
        <f>D22+D31</f>
        <v/>
      </c>
      <c r="E33" s="34">
        <f>E22+E31</f>
        <v/>
      </c>
      <c r="F33" s="34">
        <f>F22+F31</f>
        <v/>
      </c>
      <c r="G33" s="34">
        <f>SUM(B33:F33)</f>
        <v/>
      </c>
      <c r="H33" s="29" t="inlineStr">
        <is>
          <t>Total de proventos menos descontos. Só fica definitivo depois do INSS/IRRF da contabilidade.</t>
        </is>
      </c>
    </row>
    <row r="34" ht="19" customHeight="1">
      <c r="A34" s="3" t="inlineStr">
        <is>
          <t>INFORMATIVO — PAGO PELA EMPRESA, NÃO ENTRA NO HOLERITE</t>
        </is>
      </c>
      <c r="B34" s="25" t="n"/>
      <c r="C34" s="25" t="n"/>
      <c r="D34" s="25" t="n"/>
      <c r="E34" s="25" t="n"/>
      <c r="F34" s="25" t="n"/>
      <c r="G34" s="25" t="n"/>
      <c r="H34" s="25" t="n"/>
    </row>
    <row r="35">
      <c r="A35" s="26" t="inlineStr">
        <is>
          <t>VALE TRANSPORTE (compra out/26)</t>
        </is>
      </c>
      <c r="B35" s="31" t="n"/>
      <c r="C35" s="31" t="n"/>
      <c r="D35" s="31" t="n"/>
      <c r="E35" s="31" t="n"/>
      <c r="F35" s="31" t="n"/>
      <c r="G35" s="20">
        <f>SUM(B35:F35)</f>
        <v/>
      </c>
      <c r="H35" s="29" t="inlineStr">
        <is>
          <t xml:space="preserve">PREENCHER com as passagens compradas. </t>
        </is>
      </c>
    </row>
    <row r="36">
      <c r="A36" s="26" t="inlineStr">
        <is>
          <t>VALE ALIMENTAÇÃO FERIADOS E DOMINGOS</t>
        </is>
      </c>
      <c r="B36" s="31" t="n"/>
      <c r="C36" s="31" t="n"/>
      <c r="D36" s="31" t="n"/>
      <c r="E36" s="31" t="n"/>
      <c r="F36" s="31" t="n"/>
      <c r="G36" s="20">
        <f>SUM(B36:F36)</f>
        <v/>
      </c>
      <c r="H36" s="29" t="inlineStr">
        <is>
          <t>PREENCHER conforme escala de domingos e feriados.</t>
        </is>
      </c>
    </row>
    <row r="37">
      <c r="A37" s="26" t="inlineStr">
        <is>
          <t>FÉRIAS PAGAS À PARTE (CONTAS A PAGAR)</t>
        </is>
      </c>
      <c r="B37" s="27" t="n"/>
      <c r="C37" s="27" t="n"/>
      <c r="D37" s="27" t="n"/>
      <c r="E37" s="27" t="n"/>
      <c r="F37" s="27" t="n"/>
      <c r="G37" s="28">
        <f>SUM(B37:F37)</f>
        <v/>
      </c>
      <c r="H37" s="29" t="inlineStr">
        <is>
          <t>Recibo de férias pago fora do holerite — lembrete para o contas a pagar. VALDICK: férias de 01 a 30/09/2026 — informar o valor do recibo.</t>
        </is>
      </c>
    </row>
    <row r="39">
      <c r="A39" s="21" t="inlineStr">
        <is>
          <t>LEGENDA</t>
        </is>
      </c>
      <c r="B39" s="35" t="inlineStr"/>
    </row>
    <row r="40">
      <c r="A40" s="21" t="inlineStr">
        <is>
          <t>Célula amarela, texto azul</t>
        </is>
      </c>
      <c r="B40" s="35" t="inlineStr">
        <is>
          <t>valor digitado — PREENCHER ou conferir antes de enviar.</t>
        </is>
      </c>
    </row>
    <row r="41">
      <c r="A41" s="21" t="inlineStr">
        <is>
          <t>Célula laranja</t>
        </is>
      </c>
      <c r="B41" s="35" t="inlineStr">
        <is>
          <t>valor repetido de agosto/2026 — CONFERIR se continua válido em setembro.</t>
        </is>
      </c>
    </row>
    <row r="42">
      <c r="A42" s="21" t="inlineStr">
        <is>
          <t>Texto verde</t>
        </is>
      </c>
      <c r="B42" s="35" t="inlineStr">
        <is>
          <t>valor puxado da aba BASE INOVAFARMA SET.26 (não digitar por cima).</t>
        </is>
      </c>
    </row>
    <row r="43">
      <c r="A43" s="21" t="inlineStr">
        <is>
          <t>Texto preto em célula verde</t>
        </is>
      </c>
      <c r="B43" s="35" t="inlineStr">
        <is>
          <t>resultado de fórmula — não alterar.</t>
        </is>
      </c>
    </row>
  </sheetData>
  <autoFilter ref="A4:H37"/>
  <mergeCells count="7">
    <mergeCell ref="B40:H40"/>
    <mergeCell ref="B41:H41"/>
    <mergeCell ref="B42:H42"/>
    <mergeCell ref="A2:H2"/>
    <mergeCell ref="B43:H43"/>
    <mergeCell ref="B39:H39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4" customWidth="1" min="3" max="3"/>
    <col width="16" customWidth="1" min="4" max="4"/>
    <col width="46" customWidth="1" min="5" max="5"/>
  </cols>
  <sheetData>
    <row r="1" ht="26" customHeight="1">
      <c r="A1" s="1" t="inlineStr">
        <is>
          <t>LANÇAMENTOS POR FUNCIONÁRIO — TRANCOSO — SETEMBRO/2026 (pagamento 05/10/2026)</t>
        </is>
      </c>
    </row>
    <row r="2" ht="18" customHeight="1">
      <c r="A2" s="2" t="inlineStr">
        <is>
          <t>Mesmos valores da aba HOLERITE SET.26, em formato de lista (vinculados por fórmula)</t>
        </is>
      </c>
    </row>
    <row r="4">
      <c r="A4" s="23" t="inlineStr">
        <is>
          <t>FUNCIONÁRIO</t>
        </is>
      </c>
      <c r="B4" s="23" t="inlineStr">
        <is>
          <t>RUBRICA</t>
        </is>
      </c>
      <c r="C4" s="23" t="inlineStr">
        <is>
          <t>TIPO</t>
        </is>
      </c>
      <c r="D4" s="23" t="inlineStr">
        <is>
          <t>VALOR</t>
        </is>
      </c>
      <c r="E4" s="23" t="inlineStr">
        <is>
          <t>OBSERVAÇÃO</t>
        </is>
      </c>
    </row>
    <row r="5">
      <c r="A5" s="26" t="inlineStr">
        <is>
          <t>UILLIAN</t>
        </is>
      </c>
      <c r="B5" s="26" t="inlineStr">
        <is>
          <t>SALÁRIO BASE</t>
        </is>
      </c>
      <c r="C5" s="26" t="inlineStr">
        <is>
          <t>Provento</t>
        </is>
      </c>
      <c r="D5" s="30">
        <f>'HOLERITE SET.26'!B6</f>
        <v/>
      </c>
      <c r="E5" s="36" t="n"/>
    </row>
    <row r="6">
      <c r="A6" s="26" t="inlineStr">
        <is>
          <t>UILLIAN</t>
        </is>
      </c>
      <c r="B6" s="26" t="inlineStr">
        <is>
          <t>ADICIONAL NOTURNO</t>
        </is>
      </c>
      <c r="C6" s="26" t="inlineStr">
        <is>
          <t>Provento</t>
        </is>
      </c>
      <c r="D6" s="30">
        <f>'HOLERITE SET.26'!B7</f>
        <v/>
      </c>
      <c r="E6" s="36" t="n"/>
    </row>
    <row r="7">
      <c r="A7" s="26" t="inlineStr">
        <is>
          <t>UILLIAN</t>
        </is>
      </c>
      <c r="B7" s="26" t="inlineStr">
        <is>
          <t>HORAS EXTRAS</t>
        </is>
      </c>
      <c r="C7" s="26" t="inlineStr">
        <is>
          <t>Provento</t>
        </is>
      </c>
      <c r="D7" s="30">
        <f>'HOLERITE SET.26'!B8</f>
        <v/>
      </c>
      <c r="E7" s="36" t="n"/>
    </row>
    <row r="8">
      <c r="A8" s="26" t="inlineStr">
        <is>
          <t>UILLIAN</t>
        </is>
      </c>
      <c r="B8" s="26" t="inlineStr">
        <is>
          <t>COMISSÃO SOBRE VENDAS</t>
        </is>
      </c>
      <c r="C8" s="26" t="inlineStr">
        <is>
          <t>Provento</t>
        </is>
      </c>
      <c r="D8" s="30">
        <f>'HOLERITE SET.26'!B11</f>
        <v/>
      </c>
      <c r="E8" s="36" t="n"/>
    </row>
    <row r="9">
      <c r="A9" s="26" t="inlineStr">
        <is>
          <t>UILLIAN</t>
        </is>
      </c>
      <c r="B9" s="26" t="inlineStr">
        <is>
          <t>REPOUSO REMUNERADO / DSR</t>
        </is>
      </c>
      <c r="C9" s="26" t="inlineStr">
        <is>
          <t>Provento</t>
        </is>
      </c>
      <c r="D9" s="30">
        <f>'HOLERITE SET.26'!B12</f>
        <v/>
      </c>
      <c r="E9" s="36" t="n"/>
    </row>
    <row r="10">
      <c r="A10" s="26" t="inlineStr">
        <is>
          <t>UILLIAN</t>
        </is>
      </c>
      <c r="B10" s="26" t="inlineStr">
        <is>
          <t>AUXÍLIO GERÊNCIA</t>
        </is>
      </c>
      <c r="C10" s="26" t="inlineStr">
        <is>
          <t>Provento</t>
        </is>
      </c>
      <c r="D10" s="30">
        <f>'HOLERITE SET.26'!B13</f>
        <v/>
      </c>
      <c r="E10" s="36" t="n"/>
    </row>
    <row r="11">
      <c r="A11" s="26" t="inlineStr">
        <is>
          <t>UILLIAN</t>
        </is>
      </c>
      <c r="B11" s="26" t="inlineStr">
        <is>
          <t>ADICIONAL PRÊMIO META CAIXA</t>
        </is>
      </c>
      <c r="C11" s="26" t="inlineStr">
        <is>
          <t>Provento</t>
        </is>
      </c>
      <c r="D11" s="30">
        <f>'HOLERITE SET.26'!B14</f>
        <v/>
      </c>
      <c r="E11" s="36" t="n"/>
    </row>
    <row r="12">
      <c r="A12" s="26" t="inlineStr">
        <is>
          <t>UILLIAN</t>
        </is>
      </c>
      <c r="B12" s="26" t="inlineStr">
        <is>
          <t>PRÊMIO COTA GERAL</t>
        </is>
      </c>
      <c r="C12" s="26" t="inlineStr">
        <is>
          <t>Provento</t>
        </is>
      </c>
      <c r="D12" s="30">
        <f>'HOLERITE SET.26'!B15</f>
        <v/>
      </c>
      <c r="E12" s="36" t="n"/>
    </row>
    <row r="13">
      <c r="A13" s="26" t="inlineStr">
        <is>
          <t>UILLIAN</t>
        </is>
      </c>
      <c r="B13" s="26" t="inlineStr">
        <is>
          <t>PRÊMIO PRÉ-VENCIDOS</t>
        </is>
      </c>
      <c r="C13" s="26" t="inlineStr">
        <is>
          <t>Provento</t>
        </is>
      </c>
      <c r="D13" s="30">
        <f>'HOLERITE SET.26'!B16</f>
        <v/>
      </c>
      <c r="E13" s="36" t="n"/>
    </row>
    <row r="14">
      <c r="A14" s="26" t="inlineStr">
        <is>
          <t>UILLIAN</t>
        </is>
      </c>
      <c r="B14" s="26" t="inlineStr">
        <is>
          <t>FÉRIAS</t>
        </is>
      </c>
      <c r="C14" s="26" t="inlineStr">
        <is>
          <t>Provento</t>
        </is>
      </c>
      <c r="D14" s="30">
        <f>'HOLERITE SET.26'!B17</f>
        <v/>
      </c>
      <c r="E14" s="36" t="n"/>
    </row>
    <row r="15">
      <c r="A15" s="26" t="inlineStr">
        <is>
          <t>UILLIAN</t>
        </is>
      </c>
      <c r="B15" s="26" t="inlineStr">
        <is>
          <t>1/3 CONSTITUCIONAL DE FÉRIAS</t>
        </is>
      </c>
      <c r="C15" s="26" t="inlineStr">
        <is>
          <t>Provento</t>
        </is>
      </c>
      <c r="D15" s="30">
        <f>'HOLERITE SET.26'!B18</f>
        <v/>
      </c>
      <c r="E15" s="36" t="n"/>
    </row>
    <row r="16">
      <c r="A16" s="26" t="inlineStr">
        <is>
          <t>UILLIAN</t>
        </is>
      </c>
      <c r="B16" s="26" t="inlineStr">
        <is>
          <t>INCENTIVO APLICAÇÕES</t>
        </is>
      </c>
      <c r="C16" s="26" t="inlineStr">
        <is>
          <t>Provento</t>
        </is>
      </c>
      <c r="D16" s="30">
        <f>'HOLERITE SET.26'!B19</f>
        <v/>
      </c>
      <c r="E16" s="36" t="n"/>
    </row>
    <row r="17">
      <c r="A17" s="26" t="inlineStr">
        <is>
          <t>UILLIAN</t>
        </is>
      </c>
      <c r="B17" s="26" t="inlineStr">
        <is>
          <t>INCENTIVO VITAMINAS</t>
        </is>
      </c>
      <c r="C17" s="26" t="inlineStr">
        <is>
          <t>Provento</t>
        </is>
      </c>
      <c r="D17" s="30">
        <f>'HOLERITE SET.26'!B20</f>
        <v/>
      </c>
      <c r="E17" s="36" t="n"/>
    </row>
    <row r="18">
      <c r="A18" s="26" t="inlineStr">
        <is>
          <t>UILLIAN</t>
        </is>
      </c>
      <c r="B18" s="26" t="inlineStr">
        <is>
          <t>OUTROS INCENTIVOS</t>
        </is>
      </c>
      <c r="C18" s="26" t="inlineStr">
        <is>
          <t>Provento</t>
        </is>
      </c>
      <c r="D18" s="30">
        <f>'HOLERITE SET.26'!B21</f>
        <v/>
      </c>
      <c r="E18" s="36" t="n"/>
    </row>
    <row r="19">
      <c r="A19" s="37" t="inlineStr">
        <is>
          <t>UILLIAN</t>
        </is>
      </c>
      <c r="B19" s="37" t="inlineStr">
        <is>
          <t>TOTAL DE PROVENTOS</t>
        </is>
      </c>
      <c r="C19" s="37" t="inlineStr">
        <is>
          <t>Subtotal</t>
        </is>
      </c>
      <c r="D19" s="38">
        <f>'HOLERITE SET.26'!B22</f>
        <v/>
      </c>
      <c r="E19" s="18" t="n"/>
    </row>
    <row r="20">
      <c r="A20" s="26" t="inlineStr">
        <is>
          <t>UILLIAN</t>
        </is>
      </c>
      <c r="B20" s="26" t="inlineStr">
        <is>
          <t>ADIANTAMENTO SALARIAL / VALES</t>
        </is>
      </c>
      <c r="C20" s="26" t="inlineStr">
        <is>
          <t>Desconto</t>
        </is>
      </c>
      <c r="D20" s="30">
        <f>'HOLERITE SET.26'!B24</f>
        <v/>
      </c>
      <c r="E20" s="36" t="n"/>
    </row>
    <row r="21">
      <c r="A21" s="26" t="inlineStr">
        <is>
          <t>UILLIAN</t>
        </is>
      </c>
      <c r="B21" s="26" t="inlineStr">
        <is>
          <t>ADIANT. VALES INCENT. E APLIC.</t>
        </is>
      </c>
      <c r="C21" s="26" t="inlineStr">
        <is>
          <t>Desconto</t>
        </is>
      </c>
      <c r="D21" s="30">
        <f>'HOLERITE SET.26'!B25</f>
        <v/>
      </c>
      <c r="E21" s="36" t="n"/>
    </row>
    <row r="22">
      <c r="A22" s="26" t="inlineStr">
        <is>
          <t>UILLIAN</t>
        </is>
      </c>
      <c r="B22" s="26" t="inlineStr">
        <is>
          <t>CONVÊNIO</t>
        </is>
      </c>
      <c r="C22" s="26" t="inlineStr">
        <is>
          <t>Desconto</t>
        </is>
      </c>
      <c r="D22" s="30">
        <f>'HOLERITE SET.26'!B26</f>
        <v/>
      </c>
      <c r="E22" s="36" t="n"/>
    </row>
    <row r="23">
      <c r="A23" s="26" t="inlineStr">
        <is>
          <t>UILLIAN</t>
        </is>
      </c>
      <c r="B23" s="26" t="inlineStr">
        <is>
          <t>DESCONTO FALTAS / ATRASOS</t>
        </is>
      </c>
      <c r="C23" s="26" t="inlineStr">
        <is>
          <t>Desconto</t>
        </is>
      </c>
      <c r="D23" s="30">
        <f>'HOLERITE SET.26'!B27</f>
        <v/>
      </c>
      <c r="E23" s="36" t="n"/>
    </row>
    <row r="24">
      <c r="A24" s="26" t="inlineStr">
        <is>
          <t>UILLIAN</t>
        </is>
      </c>
      <c r="B24" s="26" t="inlineStr">
        <is>
          <t>DESCONTO VALE TRANSPORTE 6%</t>
        </is>
      </c>
      <c r="C24" s="26" t="inlineStr">
        <is>
          <t>Desconto</t>
        </is>
      </c>
      <c r="D24" s="30">
        <f>'HOLERITE SET.26'!B28</f>
        <v/>
      </c>
      <c r="E24" s="36" t="n"/>
    </row>
    <row r="25">
      <c r="A25" s="26" t="inlineStr">
        <is>
          <t>UILLIAN</t>
        </is>
      </c>
      <c r="B25" s="26" t="inlineStr">
        <is>
          <t>DESCONTO INSS</t>
        </is>
      </c>
      <c r="C25" s="26" t="inlineStr">
        <is>
          <t>Desconto</t>
        </is>
      </c>
      <c r="D25" s="30">
        <f>'HOLERITE SET.26'!B29</f>
        <v/>
      </c>
      <c r="E25" s="36" t="n"/>
    </row>
    <row r="26">
      <c r="A26" s="26" t="inlineStr">
        <is>
          <t>UILLIAN</t>
        </is>
      </c>
      <c r="B26" s="26" t="inlineStr">
        <is>
          <t>DESCONTO IRRF</t>
        </is>
      </c>
      <c r="C26" s="26" t="inlineStr">
        <is>
          <t>Desconto</t>
        </is>
      </c>
      <c r="D26" s="30">
        <f>'HOLERITE SET.26'!B30</f>
        <v/>
      </c>
      <c r="E26" s="36" t="n"/>
    </row>
    <row r="27">
      <c r="A27" s="37" t="inlineStr">
        <is>
          <t>UILLIAN</t>
        </is>
      </c>
      <c r="B27" s="37" t="inlineStr">
        <is>
          <t>TOTAL DE DESCONTOS</t>
        </is>
      </c>
      <c r="C27" s="37" t="inlineStr">
        <is>
          <t>Subtotal</t>
        </is>
      </c>
      <c r="D27" s="38">
        <f>'HOLERITE SET.26'!B31</f>
        <v/>
      </c>
      <c r="E27" s="18" t="n"/>
    </row>
    <row r="28">
      <c r="A28" s="39" t="inlineStr">
        <is>
          <t>UILLIAN</t>
        </is>
      </c>
      <c r="B28" s="40" t="inlineStr">
        <is>
          <t>LÍQUIDO A RECEBER</t>
        </is>
      </c>
      <c r="C28" s="40" t="inlineStr">
        <is>
          <t>Líquido</t>
        </is>
      </c>
      <c r="D28" s="41">
        <f>'HOLERITE SET.26'!B33</f>
        <v/>
      </c>
      <c r="E28" s="42" t="n"/>
    </row>
    <row r="30">
      <c r="A30" s="26" t="inlineStr">
        <is>
          <t>MANOEL</t>
        </is>
      </c>
      <c r="B30" s="26" t="inlineStr">
        <is>
          <t>SALÁRIO BASE</t>
        </is>
      </c>
      <c r="C30" s="26" t="inlineStr">
        <is>
          <t>Provento</t>
        </is>
      </c>
      <c r="D30" s="30">
        <f>'HOLERITE SET.26'!C6</f>
        <v/>
      </c>
      <c r="E30" s="36" t="n"/>
    </row>
    <row r="31">
      <c r="A31" s="26" t="inlineStr">
        <is>
          <t>MANOEL</t>
        </is>
      </c>
      <c r="B31" s="26" t="inlineStr">
        <is>
          <t>ADICIONAL NOTURNO</t>
        </is>
      </c>
      <c r="C31" s="26" t="inlineStr">
        <is>
          <t>Provento</t>
        </is>
      </c>
      <c r="D31" s="30">
        <f>'HOLERITE SET.26'!C7</f>
        <v/>
      </c>
      <c r="E31" s="36" t="n"/>
    </row>
    <row r="32">
      <c r="A32" s="26" t="inlineStr">
        <is>
          <t>MANOEL</t>
        </is>
      </c>
      <c r="B32" s="26" t="inlineStr">
        <is>
          <t>HORAS EXTRAS</t>
        </is>
      </c>
      <c r="C32" s="26" t="inlineStr">
        <is>
          <t>Provento</t>
        </is>
      </c>
      <c r="D32" s="30">
        <f>'HOLERITE SET.26'!C8</f>
        <v/>
      </c>
      <c r="E32" s="36" t="n"/>
    </row>
    <row r="33">
      <c r="A33" s="26" t="inlineStr">
        <is>
          <t>MANOEL</t>
        </is>
      </c>
      <c r="B33" s="26" t="inlineStr">
        <is>
          <t>COMISSÃO SOBRE VENDAS</t>
        </is>
      </c>
      <c r="C33" s="26" t="inlineStr">
        <is>
          <t>Provento</t>
        </is>
      </c>
      <c r="D33" s="30">
        <f>'HOLERITE SET.26'!C11</f>
        <v/>
      </c>
      <c r="E33" s="36" t="n"/>
    </row>
    <row r="34">
      <c r="A34" s="26" t="inlineStr">
        <is>
          <t>MANOEL</t>
        </is>
      </c>
      <c r="B34" s="26" t="inlineStr">
        <is>
          <t>REPOUSO REMUNERADO / DSR</t>
        </is>
      </c>
      <c r="C34" s="26" t="inlineStr">
        <is>
          <t>Provento</t>
        </is>
      </c>
      <c r="D34" s="30">
        <f>'HOLERITE SET.26'!C12</f>
        <v/>
      </c>
      <c r="E34" s="36" t="n"/>
    </row>
    <row r="35">
      <c r="A35" s="26" t="inlineStr">
        <is>
          <t>MANOEL</t>
        </is>
      </c>
      <c r="B35" s="26" t="inlineStr">
        <is>
          <t>AUXÍLIO GERÊNCIA</t>
        </is>
      </c>
      <c r="C35" s="26" t="inlineStr">
        <is>
          <t>Provento</t>
        </is>
      </c>
      <c r="D35" s="30">
        <f>'HOLERITE SET.26'!C13</f>
        <v/>
      </c>
      <c r="E35" s="36" t="n"/>
    </row>
    <row r="36">
      <c r="A36" s="26" t="inlineStr">
        <is>
          <t>MANOEL</t>
        </is>
      </c>
      <c r="B36" s="26" t="inlineStr">
        <is>
          <t>ADICIONAL PRÊMIO META CAIXA</t>
        </is>
      </c>
      <c r="C36" s="26" t="inlineStr">
        <is>
          <t>Provento</t>
        </is>
      </c>
      <c r="D36" s="30">
        <f>'HOLERITE SET.26'!C14</f>
        <v/>
      </c>
      <c r="E36" s="36" t="n"/>
    </row>
    <row r="37">
      <c r="A37" s="26" t="inlineStr">
        <is>
          <t>MANOEL</t>
        </is>
      </c>
      <c r="B37" s="26" t="inlineStr">
        <is>
          <t>PRÊMIO COTA GERAL</t>
        </is>
      </c>
      <c r="C37" s="26" t="inlineStr">
        <is>
          <t>Provento</t>
        </is>
      </c>
      <c r="D37" s="30">
        <f>'HOLERITE SET.26'!C15</f>
        <v/>
      </c>
      <c r="E37" s="36" t="n"/>
    </row>
    <row r="38">
      <c r="A38" s="26" t="inlineStr">
        <is>
          <t>MANOEL</t>
        </is>
      </c>
      <c r="B38" s="26" t="inlineStr">
        <is>
          <t>PRÊMIO PRÉ-VENCIDOS</t>
        </is>
      </c>
      <c r="C38" s="26" t="inlineStr">
        <is>
          <t>Provento</t>
        </is>
      </c>
      <c r="D38" s="30">
        <f>'HOLERITE SET.26'!C16</f>
        <v/>
      </c>
      <c r="E38" s="36" t="n"/>
    </row>
    <row r="39">
      <c r="A39" s="26" t="inlineStr">
        <is>
          <t>MANOEL</t>
        </is>
      </c>
      <c r="B39" s="26" t="inlineStr">
        <is>
          <t>FÉRIAS</t>
        </is>
      </c>
      <c r="C39" s="26" t="inlineStr">
        <is>
          <t>Provento</t>
        </is>
      </c>
      <c r="D39" s="30">
        <f>'HOLERITE SET.26'!C17</f>
        <v/>
      </c>
      <c r="E39" s="36" t="n"/>
    </row>
    <row r="40">
      <c r="A40" s="26" t="inlineStr">
        <is>
          <t>MANOEL</t>
        </is>
      </c>
      <c r="B40" s="26" t="inlineStr">
        <is>
          <t>1/3 CONSTITUCIONAL DE FÉRIAS</t>
        </is>
      </c>
      <c r="C40" s="26" t="inlineStr">
        <is>
          <t>Provento</t>
        </is>
      </c>
      <c r="D40" s="30">
        <f>'HOLERITE SET.26'!C18</f>
        <v/>
      </c>
      <c r="E40" s="36" t="n"/>
    </row>
    <row r="41">
      <c r="A41" s="26" t="inlineStr">
        <is>
          <t>MANOEL</t>
        </is>
      </c>
      <c r="B41" s="26" t="inlineStr">
        <is>
          <t>INCENTIVO APLICAÇÕES</t>
        </is>
      </c>
      <c r="C41" s="26" t="inlineStr">
        <is>
          <t>Provento</t>
        </is>
      </c>
      <c r="D41" s="30">
        <f>'HOLERITE SET.26'!C19</f>
        <v/>
      </c>
      <c r="E41" s="36" t="n"/>
    </row>
    <row r="42">
      <c r="A42" s="26" t="inlineStr">
        <is>
          <t>MANOEL</t>
        </is>
      </c>
      <c r="B42" s="26" t="inlineStr">
        <is>
          <t>INCENTIVO VITAMINAS</t>
        </is>
      </c>
      <c r="C42" s="26" t="inlineStr">
        <is>
          <t>Provento</t>
        </is>
      </c>
      <c r="D42" s="30">
        <f>'HOLERITE SET.26'!C20</f>
        <v/>
      </c>
      <c r="E42" s="36" t="n"/>
    </row>
    <row r="43">
      <c r="A43" s="26" t="inlineStr">
        <is>
          <t>MANOEL</t>
        </is>
      </c>
      <c r="B43" s="26" t="inlineStr">
        <is>
          <t>OUTROS INCENTIVOS</t>
        </is>
      </c>
      <c r="C43" s="26" t="inlineStr">
        <is>
          <t>Provento</t>
        </is>
      </c>
      <c r="D43" s="30">
        <f>'HOLERITE SET.26'!C21</f>
        <v/>
      </c>
      <c r="E43" s="36" t="n"/>
    </row>
    <row r="44">
      <c r="A44" s="37" t="inlineStr">
        <is>
          <t>MANOEL</t>
        </is>
      </c>
      <c r="B44" s="37" t="inlineStr">
        <is>
          <t>TOTAL DE PROVENTOS</t>
        </is>
      </c>
      <c r="C44" s="37" t="inlineStr">
        <is>
          <t>Subtotal</t>
        </is>
      </c>
      <c r="D44" s="38">
        <f>'HOLERITE SET.26'!C22</f>
        <v/>
      </c>
      <c r="E44" s="18" t="n"/>
    </row>
    <row r="45">
      <c r="A45" s="26" t="inlineStr">
        <is>
          <t>MANOEL</t>
        </is>
      </c>
      <c r="B45" s="26" t="inlineStr">
        <is>
          <t>ADIANTAMENTO SALARIAL / VALES</t>
        </is>
      </c>
      <c r="C45" s="26" t="inlineStr">
        <is>
          <t>Desconto</t>
        </is>
      </c>
      <c r="D45" s="30">
        <f>'HOLERITE SET.26'!C24</f>
        <v/>
      </c>
      <c r="E45" s="36" t="n"/>
    </row>
    <row r="46">
      <c r="A46" s="26" t="inlineStr">
        <is>
          <t>MANOEL</t>
        </is>
      </c>
      <c r="B46" s="26" t="inlineStr">
        <is>
          <t>ADIANT. VALES INCENT. E APLIC.</t>
        </is>
      </c>
      <c r="C46" s="26" t="inlineStr">
        <is>
          <t>Desconto</t>
        </is>
      </c>
      <c r="D46" s="30">
        <f>'HOLERITE SET.26'!C25</f>
        <v/>
      </c>
      <c r="E46" s="36" t="n"/>
    </row>
    <row r="47">
      <c r="A47" s="26" t="inlineStr">
        <is>
          <t>MANOEL</t>
        </is>
      </c>
      <c r="B47" s="26" t="inlineStr">
        <is>
          <t>CONVÊNIO</t>
        </is>
      </c>
      <c r="C47" s="26" t="inlineStr">
        <is>
          <t>Desconto</t>
        </is>
      </c>
      <c r="D47" s="30">
        <f>'HOLERITE SET.26'!C26</f>
        <v/>
      </c>
      <c r="E47" s="36" t="n"/>
    </row>
    <row r="48">
      <c r="A48" s="26" t="inlineStr">
        <is>
          <t>MANOEL</t>
        </is>
      </c>
      <c r="B48" s="26" t="inlineStr">
        <is>
          <t>DESCONTO FALTAS / ATRASOS</t>
        </is>
      </c>
      <c r="C48" s="26" t="inlineStr">
        <is>
          <t>Desconto</t>
        </is>
      </c>
      <c r="D48" s="30">
        <f>'HOLERITE SET.26'!C27</f>
        <v/>
      </c>
      <c r="E48" s="36" t="n"/>
    </row>
    <row r="49">
      <c r="A49" s="26" t="inlineStr">
        <is>
          <t>MANOEL</t>
        </is>
      </c>
      <c r="B49" s="26" t="inlineStr">
        <is>
          <t>DESCONTO VALE TRANSPORTE 6%</t>
        </is>
      </c>
      <c r="C49" s="26" t="inlineStr">
        <is>
          <t>Desconto</t>
        </is>
      </c>
      <c r="D49" s="30">
        <f>'HOLERITE SET.26'!C28</f>
        <v/>
      </c>
      <c r="E49" s="36" t="n"/>
    </row>
    <row r="50">
      <c r="A50" s="26" t="inlineStr">
        <is>
          <t>MANOEL</t>
        </is>
      </c>
      <c r="B50" s="26" t="inlineStr">
        <is>
          <t>DESCONTO INSS</t>
        </is>
      </c>
      <c r="C50" s="26" t="inlineStr">
        <is>
          <t>Desconto</t>
        </is>
      </c>
      <c r="D50" s="30">
        <f>'HOLERITE SET.26'!C29</f>
        <v/>
      </c>
      <c r="E50" s="36" t="n"/>
    </row>
    <row r="51">
      <c r="A51" s="26" t="inlineStr">
        <is>
          <t>MANOEL</t>
        </is>
      </c>
      <c r="B51" s="26" t="inlineStr">
        <is>
          <t>DESCONTO IRRF</t>
        </is>
      </c>
      <c r="C51" s="26" t="inlineStr">
        <is>
          <t>Desconto</t>
        </is>
      </c>
      <c r="D51" s="30">
        <f>'HOLERITE SET.26'!C30</f>
        <v/>
      </c>
      <c r="E51" s="36" t="n"/>
    </row>
    <row r="52">
      <c r="A52" s="37" t="inlineStr">
        <is>
          <t>MANOEL</t>
        </is>
      </c>
      <c r="B52" s="37" t="inlineStr">
        <is>
          <t>TOTAL DE DESCONTOS</t>
        </is>
      </c>
      <c r="C52" s="37" t="inlineStr">
        <is>
          <t>Subtotal</t>
        </is>
      </c>
      <c r="D52" s="38">
        <f>'HOLERITE SET.26'!C31</f>
        <v/>
      </c>
      <c r="E52" s="18" t="n"/>
    </row>
    <row r="53">
      <c r="A53" s="39" t="inlineStr">
        <is>
          <t>MANOEL</t>
        </is>
      </c>
      <c r="B53" s="40" t="inlineStr">
        <is>
          <t>LÍQUIDO A RECEBER</t>
        </is>
      </c>
      <c r="C53" s="40" t="inlineStr">
        <is>
          <t>Líquido</t>
        </is>
      </c>
      <c r="D53" s="41">
        <f>'HOLERITE SET.26'!C33</f>
        <v/>
      </c>
      <c r="E53" s="42" t="n"/>
    </row>
    <row r="55">
      <c r="A55" s="26" t="inlineStr">
        <is>
          <t>VALDICK</t>
        </is>
      </c>
      <c r="B55" s="26" t="inlineStr">
        <is>
          <t>SALÁRIO BASE</t>
        </is>
      </c>
      <c r="C55" s="26" t="inlineStr">
        <is>
          <t>Provento</t>
        </is>
      </c>
      <c r="D55" s="30">
        <f>'HOLERITE SET.26'!D6</f>
        <v/>
      </c>
      <c r="E55" s="36" t="n"/>
    </row>
    <row r="56">
      <c r="A56" s="26" t="inlineStr">
        <is>
          <t>VALDICK</t>
        </is>
      </c>
      <c r="B56" s="26" t="inlineStr">
        <is>
          <t>ADICIONAL NOTURNO</t>
        </is>
      </c>
      <c r="C56" s="26" t="inlineStr">
        <is>
          <t>Provento</t>
        </is>
      </c>
      <c r="D56" s="30">
        <f>'HOLERITE SET.26'!D7</f>
        <v/>
      </c>
      <c r="E56" s="36" t="n"/>
    </row>
    <row r="57">
      <c r="A57" s="26" t="inlineStr">
        <is>
          <t>VALDICK</t>
        </is>
      </c>
      <c r="B57" s="26" t="inlineStr">
        <is>
          <t>HORAS EXTRAS</t>
        </is>
      </c>
      <c r="C57" s="26" t="inlineStr">
        <is>
          <t>Provento</t>
        </is>
      </c>
      <c r="D57" s="30">
        <f>'HOLERITE SET.26'!D8</f>
        <v/>
      </c>
      <c r="E57" s="36" t="n"/>
    </row>
    <row r="58">
      <c r="A58" s="26" t="inlineStr">
        <is>
          <t>VALDICK</t>
        </is>
      </c>
      <c r="B58" s="26" t="inlineStr">
        <is>
          <t>COMISSÃO SOBRE VENDAS</t>
        </is>
      </c>
      <c r="C58" s="26" t="inlineStr">
        <is>
          <t>Provento</t>
        </is>
      </c>
      <c r="D58" s="30">
        <f>'HOLERITE SET.26'!D11</f>
        <v/>
      </c>
      <c r="E58" s="36" t="n"/>
    </row>
    <row r="59">
      <c r="A59" s="26" t="inlineStr">
        <is>
          <t>VALDICK</t>
        </is>
      </c>
      <c r="B59" s="26" t="inlineStr">
        <is>
          <t>REPOUSO REMUNERADO / DSR</t>
        </is>
      </c>
      <c r="C59" s="26" t="inlineStr">
        <is>
          <t>Provento</t>
        </is>
      </c>
      <c r="D59" s="30">
        <f>'HOLERITE SET.26'!D12</f>
        <v/>
      </c>
      <c r="E59" s="36" t="n"/>
    </row>
    <row r="60">
      <c r="A60" s="26" t="inlineStr">
        <is>
          <t>VALDICK</t>
        </is>
      </c>
      <c r="B60" s="26" t="inlineStr">
        <is>
          <t>AUXÍLIO GERÊNCIA</t>
        </is>
      </c>
      <c r="C60" s="26" t="inlineStr">
        <is>
          <t>Provento</t>
        </is>
      </c>
      <c r="D60" s="30">
        <f>'HOLERITE SET.26'!D13</f>
        <v/>
      </c>
      <c r="E60" s="36" t="n"/>
    </row>
    <row r="61">
      <c r="A61" s="26" t="inlineStr">
        <is>
          <t>VALDICK</t>
        </is>
      </c>
      <c r="B61" s="26" t="inlineStr">
        <is>
          <t>ADICIONAL PRÊMIO META CAIXA</t>
        </is>
      </c>
      <c r="C61" s="26" t="inlineStr">
        <is>
          <t>Provento</t>
        </is>
      </c>
      <c r="D61" s="30">
        <f>'HOLERITE SET.26'!D14</f>
        <v/>
      </c>
      <c r="E61" s="36" t="n"/>
    </row>
    <row r="62">
      <c r="A62" s="26" t="inlineStr">
        <is>
          <t>VALDICK</t>
        </is>
      </c>
      <c r="B62" s="26" t="inlineStr">
        <is>
          <t>PRÊMIO COTA GERAL</t>
        </is>
      </c>
      <c r="C62" s="26" t="inlineStr">
        <is>
          <t>Provento</t>
        </is>
      </c>
      <c r="D62" s="30">
        <f>'HOLERITE SET.26'!D15</f>
        <v/>
      </c>
      <c r="E62" s="36" t="n"/>
    </row>
    <row r="63">
      <c r="A63" s="26" t="inlineStr">
        <is>
          <t>VALDICK</t>
        </is>
      </c>
      <c r="B63" s="26" t="inlineStr">
        <is>
          <t>PRÊMIO PRÉ-VENCIDOS</t>
        </is>
      </c>
      <c r="C63" s="26" t="inlineStr">
        <is>
          <t>Provento</t>
        </is>
      </c>
      <c r="D63" s="30">
        <f>'HOLERITE SET.26'!D16</f>
        <v/>
      </c>
      <c r="E63" s="36" t="n"/>
    </row>
    <row r="64">
      <c r="A64" s="26" t="inlineStr">
        <is>
          <t>VALDICK</t>
        </is>
      </c>
      <c r="B64" s="26" t="inlineStr">
        <is>
          <t>FÉRIAS</t>
        </is>
      </c>
      <c r="C64" s="26" t="inlineStr">
        <is>
          <t>Provento</t>
        </is>
      </c>
      <c r="D64" s="30">
        <f>'HOLERITE SET.26'!D17</f>
        <v/>
      </c>
      <c r="E64" s="36" t="n"/>
    </row>
    <row r="65">
      <c r="A65" s="26" t="inlineStr">
        <is>
          <t>VALDICK</t>
        </is>
      </c>
      <c r="B65" s="26" t="inlineStr">
        <is>
          <t>1/3 CONSTITUCIONAL DE FÉRIAS</t>
        </is>
      </c>
      <c r="C65" s="26" t="inlineStr">
        <is>
          <t>Provento</t>
        </is>
      </c>
      <c r="D65" s="30">
        <f>'HOLERITE SET.26'!D18</f>
        <v/>
      </c>
      <c r="E65" s="36" t="n"/>
    </row>
    <row r="66">
      <c r="A66" s="26" t="inlineStr">
        <is>
          <t>VALDICK</t>
        </is>
      </c>
      <c r="B66" s="26" t="inlineStr">
        <is>
          <t>INCENTIVO APLICAÇÕES</t>
        </is>
      </c>
      <c r="C66" s="26" t="inlineStr">
        <is>
          <t>Provento</t>
        </is>
      </c>
      <c r="D66" s="30">
        <f>'HOLERITE SET.26'!D19</f>
        <v/>
      </c>
      <c r="E66" s="36" t="n"/>
    </row>
    <row r="67">
      <c r="A67" s="26" t="inlineStr">
        <is>
          <t>VALDICK</t>
        </is>
      </c>
      <c r="B67" s="26" t="inlineStr">
        <is>
          <t>INCENTIVO VITAMINAS</t>
        </is>
      </c>
      <c r="C67" s="26" t="inlineStr">
        <is>
          <t>Provento</t>
        </is>
      </c>
      <c r="D67" s="30">
        <f>'HOLERITE SET.26'!D20</f>
        <v/>
      </c>
      <c r="E67" s="36" t="n"/>
    </row>
    <row r="68">
      <c r="A68" s="26" t="inlineStr">
        <is>
          <t>VALDICK</t>
        </is>
      </c>
      <c r="B68" s="26" t="inlineStr">
        <is>
          <t>OUTROS INCENTIVOS</t>
        </is>
      </c>
      <c r="C68" s="26" t="inlineStr">
        <is>
          <t>Provento</t>
        </is>
      </c>
      <c r="D68" s="30">
        <f>'HOLERITE SET.26'!D21</f>
        <v/>
      </c>
      <c r="E68" s="36" t="n"/>
    </row>
    <row r="69">
      <c r="A69" s="37" t="inlineStr">
        <is>
          <t>VALDICK</t>
        </is>
      </c>
      <c r="B69" s="37" t="inlineStr">
        <is>
          <t>TOTAL DE PROVENTOS</t>
        </is>
      </c>
      <c r="C69" s="37" t="inlineStr">
        <is>
          <t>Subtotal</t>
        </is>
      </c>
      <c r="D69" s="38">
        <f>'HOLERITE SET.26'!D22</f>
        <v/>
      </c>
      <c r="E69" s="18" t="n"/>
    </row>
    <row r="70">
      <c r="A70" s="26" t="inlineStr">
        <is>
          <t>VALDICK</t>
        </is>
      </c>
      <c r="B70" s="26" t="inlineStr">
        <is>
          <t>ADIANTAMENTO SALARIAL / VALES</t>
        </is>
      </c>
      <c r="C70" s="26" t="inlineStr">
        <is>
          <t>Desconto</t>
        </is>
      </c>
      <c r="D70" s="30">
        <f>'HOLERITE SET.26'!D24</f>
        <v/>
      </c>
      <c r="E70" s="36" t="n"/>
    </row>
    <row r="71">
      <c r="A71" s="26" t="inlineStr">
        <is>
          <t>VALDICK</t>
        </is>
      </c>
      <c r="B71" s="26" t="inlineStr">
        <is>
          <t>ADIANT. VALES INCENT. E APLIC.</t>
        </is>
      </c>
      <c r="C71" s="26" t="inlineStr">
        <is>
          <t>Desconto</t>
        </is>
      </c>
      <c r="D71" s="30">
        <f>'HOLERITE SET.26'!D25</f>
        <v/>
      </c>
      <c r="E71" s="36" t="n"/>
    </row>
    <row r="72">
      <c r="A72" s="26" t="inlineStr">
        <is>
          <t>VALDICK</t>
        </is>
      </c>
      <c r="B72" s="26" t="inlineStr">
        <is>
          <t>CONVÊNIO</t>
        </is>
      </c>
      <c r="C72" s="26" t="inlineStr">
        <is>
          <t>Desconto</t>
        </is>
      </c>
      <c r="D72" s="30">
        <f>'HOLERITE SET.26'!D26</f>
        <v/>
      </c>
      <c r="E72" s="36" t="n"/>
    </row>
    <row r="73">
      <c r="A73" s="26" t="inlineStr">
        <is>
          <t>VALDICK</t>
        </is>
      </c>
      <c r="B73" s="26" t="inlineStr">
        <is>
          <t>DESCONTO FALTAS / ATRASOS</t>
        </is>
      </c>
      <c r="C73" s="26" t="inlineStr">
        <is>
          <t>Desconto</t>
        </is>
      </c>
      <c r="D73" s="30">
        <f>'HOLERITE SET.26'!D27</f>
        <v/>
      </c>
      <c r="E73" s="36" t="n"/>
    </row>
    <row r="74">
      <c r="A74" s="26" t="inlineStr">
        <is>
          <t>VALDICK</t>
        </is>
      </c>
      <c r="B74" s="26" t="inlineStr">
        <is>
          <t>DESCONTO VALE TRANSPORTE 6%</t>
        </is>
      </c>
      <c r="C74" s="26" t="inlineStr">
        <is>
          <t>Desconto</t>
        </is>
      </c>
      <c r="D74" s="30">
        <f>'HOLERITE SET.26'!D28</f>
        <v/>
      </c>
      <c r="E74" s="36" t="n"/>
    </row>
    <row r="75">
      <c r="A75" s="26" t="inlineStr">
        <is>
          <t>VALDICK</t>
        </is>
      </c>
      <c r="B75" s="26" t="inlineStr">
        <is>
          <t>DESCONTO INSS</t>
        </is>
      </c>
      <c r="C75" s="26" t="inlineStr">
        <is>
          <t>Desconto</t>
        </is>
      </c>
      <c r="D75" s="30">
        <f>'HOLERITE SET.26'!D29</f>
        <v/>
      </c>
      <c r="E75" s="36" t="n"/>
    </row>
    <row r="76">
      <c r="A76" s="26" t="inlineStr">
        <is>
          <t>VALDICK</t>
        </is>
      </c>
      <c r="B76" s="26" t="inlineStr">
        <is>
          <t>DESCONTO IRRF</t>
        </is>
      </c>
      <c r="C76" s="26" t="inlineStr">
        <is>
          <t>Desconto</t>
        </is>
      </c>
      <c r="D76" s="30">
        <f>'HOLERITE SET.26'!D30</f>
        <v/>
      </c>
      <c r="E76" s="36" t="n"/>
    </row>
    <row r="77">
      <c r="A77" s="37" t="inlineStr">
        <is>
          <t>VALDICK</t>
        </is>
      </c>
      <c r="B77" s="37" t="inlineStr">
        <is>
          <t>TOTAL DE DESCONTOS</t>
        </is>
      </c>
      <c r="C77" s="37" t="inlineStr">
        <is>
          <t>Subtotal</t>
        </is>
      </c>
      <c r="D77" s="38">
        <f>'HOLERITE SET.26'!D31</f>
        <v/>
      </c>
      <c r="E77" s="18" t="n"/>
    </row>
    <row r="78">
      <c r="A78" s="39" t="inlineStr">
        <is>
          <t>VALDICK</t>
        </is>
      </c>
      <c r="B78" s="40" t="inlineStr">
        <is>
          <t>LÍQUIDO A RECEBER</t>
        </is>
      </c>
      <c r="C78" s="40" t="inlineStr">
        <is>
          <t>Líquido</t>
        </is>
      </c>
      <c r="D78" s="41">
        <f>'HOLERITE SET.26'!D33</f>
        <v/>
      </c>
      <c r="E78" s="42" t="n"/>
    </row>
    <row r="80">
      <c r="A80" s="26" t="inlineStr">
        <is>
          <t>INIURLE</t>
        </is>
      </c>
      <c r="B80" s="26" t="inlineStr">
        <is>
          <t>SALÁRIO BASE</t>
        </is>
      </c>
      <c r="C80" s="26" t="inlineStr">
        <is>
          <t>Provento</t>
        </is>
      </c>
      <c r="D80" s="30">
        <f>'HOLERITE SET.26'!E6</f>
        <v/>
      </c>
      <c r="E80" s="36" t="n"/>
    </row>
    <row r="81">
      <c r="A81" s="26" t="inlineStr">
        <is>
          <t>INIURLE</t>
        </is>
      </c>
      <c r="B81" s="26" t="inlineStr">
        <is>
          <t>ADICIONAL NOTURNO</t>
        </is>
      </c>
      <c r="C81" s="26" t="inlineStr">
        <is>
          <t>Provento</t>
        </is>
      </c>
      <c r="D81" s="30">
        <f>'HOLERITE SET.26'!E7</f>
        <v/>
      </c>
      <c r="E81" s="36" t="n"/>
    </row>
    <row r="82">
      <c r="A82" s="26" t="inlineStr">
        <is>
          <t>INIURLE</t>
        </is>
      </c>
      <c r="B82" s="26" t="inlineStr">
        <is>
          <t>HORAS EXTRAS</t>
        </is>
      </c>
      <c r="C82" s="26" t="inlineStr">
        <is>
          <t>Provento</t>
        </is>
      </c>
      <c r="D82" s="30">
        <f>'HOLERITE SET.26'!E8</f>
        <v/>
      </c>
      <c r="E82" s="36" t="n"/>
    </row>
    <row r="83">
      <c r="A83" s="26" t="inlineStr">
        <is>
          <t>INIURLE</t>
        </is>
      </c>
      <c r="B83" s="26" t="inlineStr">
        <is>
          <t>COMISSÃO SOBRE VENDAS</t>
        </is>
      </c>
      <c r="C83" s="26" t="inlineStr">
        <is>
          <t>Provento</t>
        </is>
      </c>
      <c r="D83" s="30">
        <f>'HOLERITE SET.26'!E11</f>
        <v/>
      </c>
      <c r="E83" s="36" t="n"/>
    </row>
    <row r="84">
      <c r="A84" s="26" t="inlineStr">
        <is>
          <t>INIURLE</t>
        </is>
      </c>
      <c r="B84" s="26" t="inlineStr">
        <is>
          <t>REPOUSO REMUNERADO / DSR</t>
        </is>
      </c>
      <c r="C84" s="26" t="inlineStr">
        <is>
          <t>Provento</t>
        </is>
      </c>
      <c r="D84" s="30">
        <f>'HOLERITE SET.26'!E12</f>
        <v/>
      </c>
      <c r="E84" s="36" t="n"/>
    </row>
    <row r="85">
      <c r="A85" s="26" t="inlineStr">
        <is>
          <t>INIURLE</t>
        </is>
      </c>
      <c r="B85" s="26" t="inlineStr">
        <is>
          <t>AUXÍLIO GERÊNCIA</t>
        </is>
      </c>
      <c r="C85" s="26" t="inlineStr">
        <is>
          <t>Provento</t>
        </is>
      </c>
      <c r="D85" s="30">
        <f>'HOLERITE SET.26'!E13</f>
        <v/>
      </c>
      <c r="E85" s="36" t="n"/>
    </row>
    <row r="86">
      <c r="A86" s="26" t="inlineStr">
        <is>
          <t>INIURLE</t>
        </is>
      </c>
      <c r="B86" s="26" t="inlineStr">
        <is>
          <t>ADICIONAL PRÊMIO META CAIXA</t>
        </is>
      </c>
      <c r="C86" s="26" t="inlineStr">
        <is>
          <t>Provento</t>
        </is>
      </c>
      <c r="D86" s="30">
        <f>'HOLERITE SET.26'!E14</f>
        <v/>
      </c>
      <c r="E86" s="36" t="n"/>
    </row>
    <row r="87">
      <c r="A87" s="26" t="inlineStr">
        <is>
          <t>INIURLE</t>
        </is>
      </c>
      <c r="B87" s="26" t="inlineStr">
        <is>
          <t>PRÊMIO COTA GERAL</t>
        </is>
      </c>
      <c r="C87" s="26" t="inlineStr">
        <is>
          <t>Provento</t>
        </is>
      </c>
      <c r="D87" s="30">
        <f>'HOLERITE SET.26'!E15</f>
        <v/>
      </c>
      <c r="E87" s="36" t="n"/>
    </row>
    <row r="88">
      <c r="A88" s="26" t="inlineStr">
        <is>
          <t>INIURLE</t>
        </is>
      </c>
      <c r="B88" s="26" t="inlineStr">
        <is>
          <t>PRÊMIO PRÉ-VENCIDOS</t>
        </is>
      </c>
      <c r="C88" s="26" t="inlineStr">
        <is>
          <t>Provento</t>
        </is>
      </c>
      <c r="D88" s="30">
        <f>'HOLERITE SET.26'!E16</f>
        <v/>
      </c>
      <c r="E88" s="36" t="n"/>
    </row>
    <row r="89">
      <c r="A89" s="26" t="inlineStr">
        <is>
          <t>INIURLE</t>
        </is>
      </c>
      <c r="B89" s="26" t="inlineStr">
        <is>
          <t>FÉRIAS</t>
        </is>
      </c>
      <c r="C89" s="26" t="inlineStr">
        <is>
          <t>Provento</t>
        </is>
      </c>
      <c r="D89" s="30">
        <f>'HOLERITE SET.26'!E17</f>
        <v/>
      </c>
      <c r="E89" s="36" t="n"/>
    </row>
    <row r="90">
      <c r="A90" s="26" t="inlineStr">
        <is>
          <t>INIURLE</t>
        </is>
      </c>
      <c r="B90" s="26" t="inlineStr">
        <is>
          <t>1/3 CONSTITUCIONAL DE FÉRIAS</t>
        </is>
      </c>
      <c r="C90" s="26" t="inlineStr">
        <is>
          <t>Provento</t>
        </is>
      </c>
      <c r="D90" s="30">
        <f>'HOLERITE SET.26'!E18</f>
        <v/>
      </c>
      <c r="E90" s="36" t="n"/>
    </row>
    <row r="91">
      <c r="A91" s="26" t="inlineStr">
        <is>
          <t>INIURLE</t>
        </is>
      </c>
      <c r="B91" s="26" t="inlineStr">
        <is>
          <t>INCENTIVO APLICAÇÕES</t>
        </is>
      </c>
      <c r="C91" s="26" t="inlineStr">
        <is>
          <t>Provento</t>
        </is>
      </c>
      <c r="D91" s="30">
        <f>'HOLERITE SET.26'!E19</f>
        <v/>
      </c>
      <c r="E91" s="36" t="n"/>
    </row>
    <row r="92">
      <c r="A92" s="26" t="inlineStr">
        <is>
          <t>INIURLE</t>
        </is>
      </c>
      <c r="B92" s="26" t="inlineStr">
        <is>
          <t>INCENTIVO VITAMINAS</t>
        </is>
      </c>
      <c r="C92" s="26" t="inlineStr">
        <is>
          <t>Provento</t>
        </is>
      </c>
      <c r="D92" s="30">
        <f>'HOLERITE SET.26'!E20</f>
        <v/>
      </c>
      <c r="E92" s="36" t="n"/>
    </row>
    <row r="93">
      <c r="A93" s="26" t="inlineStr">
        <is>
          <t>INIURLE</t>
        </is>
      </c>
      <c r="B93" s="26" t="inlineStr">
        <is>
          <t>OUTROS INCENTIVOS</t>
        </is>
      </c>
      <c r="C93" s="26" t="inlineStr">
        <is>
          <t>Provento</t>
        </is>
      </c>
      <c r="D93" s="30">
        <f>'HOLERITE SET.26'!E21</f>
        <v/>
      </c>
      <c r="E93" s="36" t="n"/>
    </row>
    <row r="94">
      <c r="A94" s="37" t="inlineStr">
        <is>
          <t>INIURLE</t>
        </is>
      </c>
      <c r="B94" s="37" t="inlineStr">
        <is>
          <t>TOTAL DE PROVENTOS</t>
        </is>
      </c>
      <c r="C94" s="37" t="inlineStr">
        <is>
          <t>Subtotal</t>
        </is>
      </c>
      <c r="D94" s="38">
        <f>'HOLERITE SET.26'!E22</f>
        <v/>
      </c>
      <c r="E94" s="18" t="n"/>
    </row>
    <row r="95">
      <c r="A95" s="26" t="inlineStr">
        <is>
          <t>INIURLE</t>
        </is>
      </c>
      <c r="B95" s="26" t="inlineStr">
        <is>
          <t>ADIANTAMENTO SALARIAL / VALES</t>
        </is>
      </c>
      <c r="C95" s="26" t="inlineStr">
        <is>
          <t>Desconto</t>
        </is>
      </c>
      <c r="D95" s="30">
        <f>'HOLERITE SET.26'!E24</f>
        <v/>
      </c>
      <c r="E95" s="36" t="n"/>
    </row>
    <row r="96">
      <c r="A96" s="26" t="inlineStr">
        <is>
          <t>INIURLE</t>
        </is>
      </c>
      <c r="B96" s="26" t="inlineStr">
        <is>
          <t>ADIANT. VALES INCENT. E APLIC.</t>
        </is>
      </c>
      <c r="C96" s="26" t="inlineStr">
        <is>
          <t>Desconto</t>
        </is>
      </c>
      <c r="D96" s="30">
        <f>'HOLERITE SET.26'!E25</f>
        <v/>
      </c>
      <c r="E96" s="36" t="n"/>
    </row>
    <row r="97">
      <c r="A97" s="26" t="inlineStr">
        <is>
          <t>INIURLE</t>
        </is>
      </c>
      <c r="B97" s="26" t="inlineStr">
        <is>
          <t>CONVÊNIO</t>
        </is>
      </c>
      <c r="C97" s="26" t="inlineStr">
        <is>
          <t>Desconto</t>
        </is>
      </c>
      <c r="D97" s="30">
        <f>'HOLERITE SET.26'!E26</f>
        <v/>
      </c>
      <c r="E97" s="36" t="n"/>
    </row>
    <row r="98">
      <c r="A98" s="26" t="inlineStr">
        <is>
          <t>INIURLE</t>
        </is>
      </c>
      <c r="B98" s="26" t="inlineStr">
        <is>
          <t>DESCONTO FALTAS / ATRASOS</t>
        </is>
      </c>
      <c r="C98" s="26" t="inlineStr">
        <is>
          <t>Desconto</t>
        </is>
      </c>
      <c r="D98" s="30">
        <f>'HOLERITE SET.26'!E27</f>
        <v/>
      </c>
      <c r="E98" s="36" t="n"/>
    </row>
    <row r="99">
      <c r="A99" s="26" t="inlineStr">
        <is>
          <t>INIURLE</t>
        </is>
      </c>
      <c r="B99" s="26" t="inlineStr">
        <is>
          <t>DESCONTO VALE TRANSPORTE 6%</t>
        </is>
      </c>
      <c r="C99" s="26" t="inlineStr">
        <is>
          <t>Desconto</t>
        </is>
      </c>
      <c r="D99" s="30">
        <f>'HOLERITE SET.26'!E28</f>
        <v/>
      </c>
      <c r="E99" s="36" t="n"/>
    </row>
    <row r="100">
      <c r="A100" s="26" t="inlineStr">
        <is>
          <t>INIURLE</t>
        </is>
      </c>
      <c r="B100" s="26" t="inlineStr">
        <is>
          <t>DESCONTO INSS</t>
        </is>
      </c>
      <c r="C100" s="26" t="inlineStr">
        <is>
          <t>Desconto</t>
        </is>
      </c>
      <c r="D100" s="30">
        <f>'HOLERITE SET.26'!E29</f>
        <v/>
      </c>
      <c r="E100" s="36" t="n"/>
    </row>
    <row r="101">
      <c r="A101" s="26" t="inlineStr">
        <is>
          <t>INIURLE</t>
        </is>
      </c>
      <c r="B101" s="26" t="inlineStr">
        <is>
          <t>DESCONTO IRRF</t>
        </is>
      </c>
      <c r="C101" s="26" t="inlineStr">
        <is>
          <t>Desconto</t>
        </is>
      </c>
      <c r="D101" s="30">
        <f>'HOLERITE SET.26'!E30</f>
        <v/>
      </c>
      <c r="E101" s="36" t="n"/>
    </row>
    <row r="102">
      <c r="A102" s="37" t="inlineStr">
        <is>
          <t>INIURLE</t>
        </is>
      </c>
      <c r="B102" s="37" t="inlineStr">
        <is>
          <t>TOTAL DE DESCONTOS</t>
        </is>
      </c>
      <c r="C102" s="37" t="inlineStr">
        <is>
          <t>Subtotal</t>
        </is>
      </c>
      <c r="D102" s="38">
        <f>'HOLERITE SET.26'!E31</f>
        <v/>
      </c>
      <c r="E102" s="18" t="n"/>
    </row>
    <row r="103">
      <c r="A103" s="39" t="inlineStr">
        <is>
          <t>INIURLE</t>
        </is>
      </c>
      <c r="B103" s="40" t="inlineStr">
        <is>
          <t>LÍQUIDO A RECEBER</t>
        </is>
      </c>
      <c r="C103" s="40" t="inlineStr">
        <is>
          <t>Líquido</t>
        </is>
      </c>
      <c r="D103" s="41">
        <f>'HOLERITE SET.26'!E33</f>
        <v/>
      </c>
      <c r="E103" s="42" t="n"/>
    </row>
    <row r="105">
      <c r="A105" s="26" t="inlineStr">
        <is>
          <t>TAMILES</t>
        </is>
      </c>
      <c r="B105" s="26" t="inlineStr">
        <is>
          <t>SALÁRIO BASE</t>
        </is>
      </c>
      <c r="C105" s="26" t="inlineStr">
        <is>
          <t>Provento</t>
        </is>
      </c>
      <c r="D105" s="30">
        <f>'HOLERITE SET.26'!F6</f>
        <v/>
      </c>
      <c r="E105" s="36" t="n"/>
    </row>
    <row r="106">
      <c r="A106" s="26" t="inlineStr">
        <is>
          <t>TAMILES</t>
        </is>
      </c>
      <c r="B106" s="26" t="inlineStr">
        <is>
          <t>ADICIONAL NOTURNO</t>
        </is>
      </c>
      <c r="C106" s="26" t="inlineStr">
        <is>
          <t>Provento</t>
        </is>
      </c>
      <c r="D106" s="30">
        <f>'HOLERITE SET.26'!F7</f>
        <v/>
      </c>
      <c r="E106" s="36" t="n"/>
    </row>
    <row r="107">
      <c r="A107" s="26" t="inlineStr">
        <is>
          <t>TAMILES</t>
        </is>
      </c>
      <c r="B107" s="26" t="inlineStr">
        <is>
          <t>HORAS EXTRAS</t>
        </is>
      </c>
      <c r="C107" s="26" t="inlineStr">
        <is>
          <t>Provento</t>
        </is>
      </c>
      <c r="D107" s="30">
        <f>'HOLERITE SET.26'!F8</f>
        <v/>
      </c>
      <c r="E107" s="36" t="n"/>
    </row>
    <row r="108">
      <c r="A108" s="26" t="inlineStr">
        <is>
          <t>TAMILES</t>
        </is>
      </c>
      <c r="B108" s="26" t="inlineStr">
        <is>
          <t>COMISSÃO SOBRE VENDAS</t>
        </is>
      </c>
      <c r="C108" s="26" t="inlineStr">
        <is>
          <t>Provento</t>
        </is>
      </c>
      <c r="D108" s="30">
        <f>'HOLERITE SET.26'!F11</f>
        <v/>
      </c>
      <c r="E108" s="36" t="n"/>
    </row>
    <row r="109">
      <c r="A109" s="26" t="inlineStr">
        <is>
          <t>TAMILES</t>
        </is>
      </c>
      <c r="B109" s="26" t="inlineStr">
        <is>
          <t>REPOUSO REMUNERADO / DSR</t>
        </is>
      </c>
      <c r="C109" s="26" t="inlineStr">
        <is>
          <t>Provento</t>
        </is>
      </c>
      <c r="D109" s="30">
        <f>'HOLERITE SET.26'!F12</f>
        <v/>
      </c>
      <c r="E109" s="36" t="n"/>
    </row>
    <row r="110">
      <c r="A110" s="26" t="inlineStr">
        <is>
          <t>TAMILES</t>
        </is>
      </c>
      <c r="B110" s="26" t="inlineStr">
        <is>
          <t>AUXÍLIO GERÊNCIA</t>
        </is>
      </c>
      <c r="C110" s="26" t="inlineStr">
        <is>
          <t>Provento</t>
        </is>
      </c>
      <c r="D110" s="30">
        <f>'HOLERITE SET.26'!F13</f>
        <v/>
      </c>
      <c r="E110" s="36" t="n"/>
    </row>
    <row r="111">
      <c r="A111" s="26" t="inlineStr">
        <is>
          <t>TAMILES</t>
        </is>
      </c>
      <c r="B111" s="26" t="inlineStr">
        <is>
          <t>ADICIONAL PRÊMIO META CAIXA</t>
        </is>
      </c>
      <c r="C111" s="26" t="inlineStr">
        <is>
          <t>Provento</t>
        </is>
      </c>
      <c r="D111" s="30">
        <f>'HOLERITE SET.26'!F14</f>
        <v/>
      </c>
      <c r="E111" s="36" t="n"/>
    </row>
    <row r="112">
      <c r="A112" s="26" t="inlineStr">
        <is>
          <t>TAMILES</t>
        </is>
      </c>
      <c r="B112" s="26" t="inlineStr">
        <is>
          <t>PRÊMIO COTA GERAL</t>
        </is>
      </c>
      <c r="C112" s="26" t="inlineStr">
        <is>
          <t>Provento</t>
        </is>
      </c>
      <c r="D112" s="30">
        <f>'HOLERITE SET.26'!F15</f>
        <v/>
      </c>
      <c r="E112" s="36" t="n"/>
    </row>
    <row r="113">
      <c r="A113" s="26" t="inlineStr">
        <is>
          <t>TAMILES</t>
        </is>
      </c>
      <c r="B113" s="26" t="inlineStr">
        <is>
          <t>PRÊMIO PRÉ-VENCIDOS</t>
        </is>
      </c>
      <c r="C113" s="26" t="inlineStr">
        <is>
          <t>Provento</t>
        </is>
      </c>
      <c r="D113" s="30">
        <f>'HOLERITE SET.26'!F16</f>
        <v/>
      </c>
      <c r="E113" s="36" t="n"/>
    </row>
    <row r="114">
      <c r="A114" s="26" t="inlineStr">
        <is>
          <t>TAMILES</t>
        </is>
      </c>
      <c r="B114" s="26" t="inlineStr">
        <is>
          <t>FÉRIAS</t>
        </is>
      </c>
      <c r="C114" s="26" t="inlineStr">
        <is>
          <t>Provento</t>
        </is>
      </c>
      <c r="D114" s="30">
        <f>'HOLERITE SET.26'!F17</f>
        <v/>
      </c>
      <c r="E114" s="36" t="n"/>
    </row>
    <row r="115">
      <c r="A115" s="26" t="inlineStr">
        <is>
          <t>TAMILES</t>
        </is>
      </c>
      <c r="B115" s="26" t="inlineStr">
        <is>
          <t>1/3 CONSTITUCIONAL DE FÉRIAS</t>
        </is>
      </c>
      <c r="C115" s="26" t="inlineStr">
        <is>
          <t>Provento</t>
        </is>
      </c>
      <c r="D115" s="30">
        <f>'HOLERITE SET.26'!F18</f>
        <v/>
      </c>
      <c r="E115" s="36" t="n"/>
    </row>
    <row r="116">
      <c r="A116" s="26" t="inlineStr">
        <is>
          <t>TAMILES</t>
        </is>
      </c>
      <c r="B116" s="26" t="inlineStr">
        <is>
          <t>INCENTIVO APLICAÇÕES</t>
        </is>
      </c>
      <c r="C116" s="26" t="inlineStr">
        <is>
          <t>Provento</t>
        </is>
      </c>
      <c r="D116" s="30">
        <f>'HOLERITE SET.26'!F19</f>
        <v/>
      </c>
      <c r="E116" s="36" t="n"/>
    </row>
    <row r="117">
      <c r="A117" s="26" t="inlineStr">
        <is>
          <t>TAMILES</t>
        </is>
      </c>
      <c r="B117" s="26" t="inlineStr">
        <is>
          <t>INCENTIVO VITAMINAS</t>
        </is>
      </c>
      <c r="C117" s="26" t="inlineStr">
        <is>
          <t>Provento</t>
        </is>
      </c>
      <c r="D117" s="30">
        <f>'HOLERITE SET.26'!F20</f>
        <v/>
      </c>
      <c r="E117" s="36" t="n"/>
    </row>
    <row r="118">
      <c r="A118" s="26" t="inlineStr">
        <is>
          <t>TAMILES</t>
        </is>
      </c>
      <c r="B118" s="26" t="inlineStr">
        <is>
          <t>OUTROS INCENTIVOS</t>
        </is>
      </c>
      <c r="C118" s="26" t="inlineStr">
        <is>
          <t>Provento</t>
        </is>
      </c>
      <c r="D118" s="30">
        <f>'HOLERITE SET.26'!F21</f>
        <v/>
      </c>
      <c r="E118" s="36" t="n"/>
    </row>
    <row r="119">
      <c r="A119" s="37" t="inlineStr">
        <is>
          <t>TAMILES</t>
        </is>
      </c>
      <c r="B119" s="37" t="inlineStr">
        <is>
          <t>TOTAL DE PROVENTOS</t>
        </is>
      </c>
      <c r="C119" s="37" t="inlineStr">
        <is>
          <t>Subtotal</t>
        </is>
      </c>
      <c r="D119" s="38">
        <f>'HOLERITE SET.26'!F22</f>
        <v/>
      </c>
      <c r="E119" s="18" t="n"/>
    </row>
    <row r="120">
      <c r="A120" s="26" t="inlineStr">
        <is>
          <t>TAMILES</t>
        </is>
      </c>
      <c r="B120" s="26" t="inlineStr">
        <is>
          <t>ADIANTAMENTO SALARIAL / VALES</t>
        </is>
      </c>
      <c r="C120" s="26" t="inlineStr">
        <is>
          <t>Desconto</t>
        </is>
      </c>
      <c r="D120" s="30">
        <f>'HOLERITE SET.26'!F24</f>
        <v/>
      </c>
      <c r="E120" s="36" t="n"/>
    </row>
    <row r="121">
      <c r="A121" s="26" t="inlineStr">
        <is>
          <t>TAMILES</t>
        </is>
      </c>
      <c r="B121" s="26" t="inlineStr">
        <is>
          <t>ADIANT. VALES INCENT. E APLIC.</t>
        </is>
      </c>
      <c r="C121" s="26" t="inlineStr">
        <is>
          <t>Desconto</t>
        </is>
      </c>
      <c r="D121" s="30">
        <f>'HOLERITE SET.26'!F25</f>
        <v/>
      </c>
      <c r="E121" s="36" t="n"/>
    </row>
    <row r="122">
      <c r="A122" s="26" t="inlineStr">
        <is>
          <t>TAMILES</t>
        </is>
      </c>
      <c r="B122" s="26" t="inlineStr">
        <is>
          <t>CONVÊNIO</t>
        </is>
      </c>
      <c r="C122" s="26" t="inlineStr">
        <is>
          <t>Desconto</t>
        </is>
      </c>
      <c r="D122" s="30">
        <f>'HOLERITE SET.26'!F26</f>
        <v/>
      </c>
      <c r="E122" s="36" t="n"/>
    </row>
    <row r="123">
      <c r="A123" s="26" t="inlineStr">
        <is>
          <t>TAMILES</t>
        </is>
      </c>
      <c r="B123" s="26" t="inlineStr">
        <is>
          <t>DESCONTO FALTAS / ATRASOS</t>
        </is>
      </c>
      <c r="C123" s="26" t="inlineStr">
        <is>
          <t>Desconto</t>
        </is>
      </c>
      <c r="D123" s="30">
        <f>'HOLERITE SET.26'!F27</f>
        <v/>
      </c>
      <c r="E123" s="36" t="n"/>
    </row>
    <row r="124">
      <c r="A124" s="26" t="inlineStr">
        <is>
          <t>TAMILES</t>
        </is>
      </c>
      <c r="B124" s="26" t="inlineStr">
        <is>
          <t>DESCONTO VALE TRANSPORTE 6%</t>
        </is>
      </c>
      <c r="C124" s="26" t="inlineStr">
        <is>
          <t>Desconto</t>
        </is>
      </c>
      <c r="D124" s="30">
        <f>'HOLERITE SET.26'!F28</f>
        <v/>
      </c>
      <c r="E124" s="36" t="n"/>
    </row>
    <row r="125">
      <c r="A125" s="26" t="inlineStr">
        <is>
          <t>TAMILES</t>
        </is>
      </c>
      <c r="B125" s="26" t="inlineStr">
        <is>
          <t>DESCONTO INSS</t>
        </is>
      </c>
      <c r="C125" s="26" t="inlineStr">
        <is>
          <t>Desconto</t>
        </is>
      </c>
      <c r="D125" s="30">
        <f>'HOLERITE SET.26'!F29</f>
        <v/>
      </c>
      <c r="E125" s="36" t="n"/>
    </row>
    <row r="126">
      <c r="A126" s="26" t="inlineStr">
        <is>
          <t>TAMILES</t>
        </is>
      </c>
      <c r="B126" s="26" t="inlineStr">
        <is>
          <t>DESCONTO IRRF</t>
        </is>
      </c>
      <c r="C126" s="26" t="inlineStr">
        <is>
          <t>Desconto</t>
        </is>
      </c>
      <c r="D126" s="30">
        <f>'HOLERITE SET.26'!F30</f>
        <v/>
      </c>
      <c r="E126" s="36" t="n"/>
    </row>
    <row r="127">
      <c r="A127" s="37" t="inlineStr">
        <is>
          <t>TAMILES</t>
        </is>
      </c>
      <c r="B127" s="37" t="inlineStr">
        <is>
          <t>TOTAL DE DESCONTOS</t>
        </is>
      </c>
      <c r="C127" s="37" t="inlineStr">
        <is>
          <t>Subtotal</t>
        </is>
      </c>
      <c r="D127" s="38">
        <f>'HOLERITE SET.26'!F31</f>
        <v/>
      </c>
      <c r="E127" s="18" t="n"/>
    </row>
    <row r="128">
      <c r="A128" s="39" t="inlineStr">
        <is>
          <t>TAMILES</t>
        </is>
      </c>
      <c r="B128" s="40" t="inlineStr">
        <is>
          <t>LÍQUIDO A RECEBER</t>
        </is>
      </c>
      <c r="C128" s="40" t="inlineStr">
        <is>
          <t>Líquido</t>
        </is>
      </c>
      <c r="D128" s="41">
        <f>'HOLERITE SET.26'!F33</f>
        <v/>
      </c>
      <c r="E128" s="42" t="n"/>
    </row>
  </sheetData>
  <autoFilter ref="A4:E128"/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4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8" customWidth="1" min="3" max="3"/>
    <col width="58" customWidth="1" min="4" max="4"/>
  </cols>
  <sheetData>
    <row r="1" ht="26" customHeight="1">
      <c r="A1" s="1" t="inlineStr">
        <is>
          <t>DEMONSTRATIVO DE GANHOS DO COLABORADOR</t>
        </is>
      </c>
    </row>
    <row r="2" ht="18" customHeight="1">
      <c r="A2" s="2" t="inlineStr">
        <is>
          <t>Loja TRANCOSO · competência SETEMBRO/2026 · pagamento em 05/09/2026</t>
        </is>
      </c>
    </row>
    <row r="4">
      <c r="B4" s="43" t="inlineStr">
        <is>
          <t>Escolha o colaborador:</t>
        </is>
      </c>
      <c r="C4" s="44" t="inlineStr">
        <is>
          <t>UILLIAN</t>
        </is>
      </c>
      <c r="D4" s="35" t="inlineStr">
        <is>
          <t>Troque o nome aqui e a tabela abaixo muda sozinha — é o relatório para mandar para cada um.</t>
        </is>
      </c>
    </row>
    <row r="6" ht="19" customHeight="1">
      <c r="B6" s="3" t="inlineStr">
        <is>
          <t>PROVENTOS</t>
        </is>
      </c>
      <c r="C6" s="25" t="n"/>
      <c r="D6" s="25" t="n"/>
    </row>
    <row r="7">
      <c r="B7" s="26" t="inlineStr">
        <is>
          <t>Salário base</t>
        </is>
      </c>
      <c r="C7" s="30">
        <f>IFERROR(INDEX('HOLERITE SET.26'!$B$6:$F$6,1,MATCH($C$4,'HOLERITE SET.26'!$B$4:$F$4,0)),0)</f>
        <v/>
      </c>
    </row>
    <row r="8">
      <c r="B8" s="26" t="inlineStr">
        <is>
          <t>Adicional noturno</t>
        </is>
      </c>
      <c r="C8" s="30">
        <f>IFERROR(INDEX('HOLERITE SET.26'!$B$7:$F$7,1,MATCH($C$4,'HOLERITE SET.26'!$B$4:$F$4,0)),0)</f>
        <v/>
      </c>
    </row>
    <row r="9">
      <c r="B9" s="26" t="inlineStr">
        <is>
          <t>Horas extras</t>
        </is>
      </c>
      <c r="C9" s="30">
        <f>IFERROR(INDEX('HOLERITE SET.26'!$B$8:$F$8,1,MATCH($C$4,'HOLERITE SET.26'!$B$4:$F$4,0)),0)</f>
        <v/>
      </c>
    </row>
    <row r="10">
      <c r="B10" s="26" t="inlineStr">
        <is>
          <t>Comissão sobre vendas</t>
        </is>
      </c>
      <c r="C10" s="30">
        <f>IFERROR(INDEX('HOLERITE SET.26'!$B$11:$F$11,1,MATCH($C$4,'HOLERITE SET.26'!$B$4:$F$4,0)),0)</f>
        <v/>
      </c>
    </row>
    <row r="11">
      <c r="B11" s="26" t="inlineStr">
        <is>
          <t>Repouso remunerado / DSR</t>
        </is>
      </c>
      <c r="C11" s="30">
        <f>IFERROR(INDEX('HOLERITE SET.26'!$B$12:$F$12,1,MATCH($C$4,'HOLERITE SET.26'!$B$4:$F$4,0)),0)</f>
        <v/>
      </c>
    </row>
    <row r="12">
      <c r="B12" s="26" t="inlineStr">
        <is>
          <t>Auxílio gerência</t>
        </is>
      </c>
      <c r="C12" s="30">
        <f>IFERROR(INDEX('HOLERITE SET.26'!$B$13:$F$13,1,MATCH($C$4,'HOLERITE SET.26'!$B$4:$F$4,0)),0)</f>
        <v/>
      </c>
    </row>
    <row r="13">
      <c r="B13" s="26" t="inlineStr">
        <is>
          <t>Adicional prêmio meta caixa</t>
        </is>
      </c>
      <c r="C13" s="30">
        <f>IFERROR(INDEX('HOLERITE SET.26'!$B$14:$F$14,1,MATCH($C$4,'HOLERITE SET.26'!$B$4:$F$4,0)),0)</f>
        <v/>
      </c>
    </row>
    <row r="14">
      <c r="B14" s="26" t="inlineStr">
        <is>
          <t>Prêmio cota geral</t>
        </is>
      </c>
      <c r="C14" s="30">
        <f>IFERROR(INDEX('HOLERITE SET.26'!$B$15:$F$15,1,MATCH($C$4,'HOLERITE SET.26'!$B$4:$F$4,0)),0)</f>
        <v/>
      </c>
    </row>
    <row r="15">
      <c r="B15" s="26" t="inlineStr">
        <is>
          <t>Prêmio pré-vencidos</t>
        </is>
      </c>
      <c r="C15" s="30">
        <f>IFERROR(INDEX('HOLERITE SET.26'!$B$16:$F$16,1,MATCH($C$4,'HOLERITE SET.26'!$B$4:$F$4,0)),0)</f>
        <v/>
      </c>
    </row>
    <row r="16">
      <c r="B16" s="26" t="inlineStr">
        <is>
          <t>Férias</t>
        </is>
      </c>
      <c r="C16" s="30">
        <f>IFERROR(INDEX('HOLERITE SET.26'!$B$17:$F$17,1,MATCH($C$4,'HOLERITE SET.26'!$B$4:$F$4,0)),0)</f>
        <v/>
      </c>
    </row>
    <row r="17">
      <c r="B17" s="26" t="inlineStr">
        <is>
          <t>1/3 constitucional de férias</t>
        </is>
      </c>
      <c r="C17" s="30">
        <f>IFERROR(INDEX('HOLERITE SET.26'!$B$18:$F$18,1,MATCH($C$4,'HOLERITE SET.26'!$B$4:$F$4,0)),0)</f>
        <v/>
      </c>
    </row>
    <row r="18">
      <c r="B18" s="26" t="inlineStr">
        <is>
          <t>Incentivo aplicações</t>
        </is>
      </c>
      <c r="C18" s="30">
        <f>IFERROR(INDEX('HOLERITE SET.26'!$B$19:$F$19,1,MATCH($C$4,'HOLERITE SET.26'!$B$4:$F$4,0)),0)</f>
        <v/>
      </c>
    </row>
    <row r="19">
      <c r="B19" s="26" t="inlineStr">
        <is>
          <t>Incentivo vitaminas</t>
        </is>
      </c>
      <c r="C19" s="30">
        <f>IFERROR(INDEX('HOLERITE SET.26'!$B$20:$F$20,1,MATCH($C$4,'HOLERITE SET.26'!$B$4:$F$4,0)),0)</f>
        <v/>
      </c>
    </row>
    <row r="20">
      <c r="B20" s="26" t="inlineStr">
        <is>
          <t>Outros incentivos</t>
        </is>
      </c>
      <c r="C20" s="30">
        <f>IFERROR(INDEX('HOLERITE SET.26'!$B$21:$F$21,1,MATCH($C$4,'HOLERITE SET.26'!$B$4:$F$4,0)),0)</f>
        <v/>
      </c>
    </row>
    <row r="21">
      <c r="B21" s="19" t="inlineStr">
        <is>
          <t>TOTAL DE PROVENTOS</t>
        </is>
      </c>
      <c r="C21" s="38">
        <f>IFERROR(INDEX('HOLERITE SET.26'!$B$22:$F$22,1,MATCH($C$4,'HOLERITE SET.26'!$B$4:$F$4,0)),0)</f>
        <v/>
      </c>
    </row>
    <row r="22" ht="19" customHeight="1">
      <c r="B22" s="3" t="inlineStr">
        <is>
          <t>DESCONTOS</t>
        </is>
      </c>
      <c r="C22" s="25" t="n"/>
      <c r="D22" s="25" t="n"/>
    </row>
    <row r="23">
      <c r="B23" s="26" t="inlineStr">
        <is>
          <t>Adiantamento salarial / vales</t>
        </is>
      </c>
      <c r="C23" s="30">
        <f>IFERROR(INDEX('HOLERITE SET.26'!$B$24:$F$24,1,MATCH($C$4,'HOLERITE SET.26'!$B$4:$F$4,0)),0)</f>
        <v/>
      </c>
    </row>
    <row r="24">
      <c r="B24" s="26" t="inlineStr">
        <is>
          <t>Adiantamento de incentivos e aplicações</t>
        </is>
      </c>
      <c r="C24" s="30">
        <f>IFERROR(INDEX('HOLERITE SET.26'!$B$25:$F$25,1,MATCH($C$4,'HOLERITE SET.26'!$B$4:$F$4,0)),0)</f>
        <v/>
      </c>
    </row>
    <row r="25">
      <c r="B25" s="26" t="inlineStr">
        <is>
          <t>Convênio</t>
        </is>
      </c>
      <c r="C25" s="30">
        <f>IFERROR(INDEX('HOLERITE SET.26'!$B$26:$F$26,1,MATCH($C$4,'HOLERITE SET.26'!$B$4:$F$4,0)),0)</f>
        <v/>
      </c>
    </row>
    <row r="26">
      <c r="B26" s="26" t="inlineStr">
        <is>
          <t>Faltas / atrasos</t>
        </is>
      </c>
      <c r="C26" s="30">
        <f>IFERROR(INDEX('HOLERITE SET.26'!$B$27:$F$27,1,MATCH($C$4,'HOLERITE SET.26'!$B$4:$F$4,0)),0)</f>
        <v/>
      </c>
    </row>
    <row r="27">
      <c r="B27" s="26" t="inlineStr">
        <is>
          <t>Vale transporte 6%</t>
        </is>
      </c>
      <c r="C27" s="30">
        <f>IFERROR(INDEX('HOLERITE SET.26'!$B$28:$F$28,1,MATCH($C$4,'HOLERITE SET.26'!$B$4:$F$4,0)),0)</f>
        <v/>
      </c>
    </row>
    <row r="28">
      <c r="B28" s="26" t="inlineStr">
        <is>
          <t>INSS</t>
        </is>
      </c>
      <c r="C28" s="30">
        <f>IFERROR(INDEX('HOLERITE SET.26'!$B$29:$F$29,1,MATCH($C$4,'HOLERITE SET.26'!$B$4:$F$4,0)),0)</f>
        <v/>
      </c>
    </row>
    <row r="29">
      <c r="B29" s="26" t="inlineStr">
        <is>
          <t>IRRF</t>
        </is>
      </c>
      <c r="C29" s="30">
        <f>IFERROR(INDEX('HOLERITE SET.26'!$B$30:$F$30,1,MATCH($C$4,'HOLERITE SET.26'!$B$4:$F$4,0)),0)</f>
        <v/>
      </c>
    </row>
    <row r="30">
      <c r="B30" s="19" t="inlineStr">
        <is>
          <t>TOTAL DE DESCONTOS</t>
        </is>
      </c>
      <c r="C30" s="38">
        <f>IFERROR(INDEX('HOLERITE SET.26'!$B$31:$F$31,1,MATCH($C$4,'HOLERITE SET.26'!$B$4:$F$4,0)),0)</f>
        <v/>
      </c>
    </row>
    <row r="31" ht="19" customHeight="1">
      <c r="B31" s="3" t="inlineStr">
        <is>
          <t>LÍQUIDO</t>
        </is>
      </c>
      <c r="C31" s="25" t="n"/>
      <c r="D31" s="25" t="n"/>
    </row>
    <row r="32" ht="22" customHeight="1">
      <c r="B32" s="45" t="inlineStr">
        <is>
          <t>LÍQUIDO A RECEBER EM 05/10/2026</t>
        </is>
      </c>
      <c r="C32" s="46">
        <f>IFERROR(INDEX('HOLERITE SET.26'!$B$33:$F$33,1,MATCH($C$4,'HOLERITE SET.26'!$B$4:$F$4,0)),0)</f>
        <v/>
      </c>
    </row>
    <row r="34">
      <c r="B34" s="47" t="inlineStr">
        <is>
          <t>Vendas do colaborador no mês (InovaFarma):</t>
        </is>
      </c>
    </row>
    <row r="35">
      <c r="B35" s="26" t="inlineStr">
        <is>
          <t>Venda bruta</t>
        </is>
      </c>
      <c r="C35" s="30">
        <f>IFERROR(INDEX('BASE INOVAFARMA SET.26'!$C$5:$C$9,MATCH($C$4,'BASE INOVAFARMA SET.26'!$B$5:$B$9,0)),0)</f>
        <v/>
      </c>
    </row>
    <row r="36">
      <c r="B36" s="26" t="inlineStr">
        <is>
          <t>Descontos concedidos</t>
        </is>
      </c>
      <c r="C36" s="30">
        <f>IFERROR(INDEX('BASE INOVAFARMA SET.26'!$D$5:$D$9,MATCH($C$4,'BASE INOVAFARMA SET.26'!$B$5:$B$9,0)),0)</f>
        <v/>
      </c>
    </row>
    <row r="37">
      <c r="B37" s="26" t="inlineStr">
        <is>
          <t>Venda líquida</t>
        </is>
      </c>
      <c r="C37" s="30">
        <f>IFERROR(INDEX('BASE INOVAFARMA SET.26'!$E$5:$E$9,MATCH($C$4,'BASE INOVAFARMA SET.26'!$B$5:$B$9,0)),0)</f>
        <v/>
      </c>
    </row>
    <row r="38">
      <c r="B38" s="26" t="inlineStr">
        <is>
          <t>Comissão apurada</t>
        </is>
      </c>
      <c r="C38" s="30">
        <f>IFERROR(INDEX('BASE INOVAFARMA SET.26'!$F$5:$F$9,MATCH($C$4,'BASE INOVAFARMA SET.26'!$B$5:$B$9,0)),0)</f>
        <v/>
      </c>
    </row>
    <row r="39">
      <c r="B39" s="26" t="inlineStr">
        <is>
          <t>Total de incentivos</t>
        </is>
      </c>
      <c r="C39" s="30">
        <f>IFERROR(INDEX('BASE INOVAFARMA SET.26'!$J$5:$J$9,MATCH($C$4,'BASE INOVAFARMA SET.26'!$B$5:$B$9,0)),0)</f>
        <v/>
      </c>
    </row>
    <row r="41">
      <c r="B41" s="35" t="inlineStr">
        <is>
          <t>A comissão apurada acima é a do sistema. O que entra na folha é a linha "Comissão sobre vendas".</t>
        </is>
      </c>
    </row>
    <row r="42">
      <c r="B42" s="35" t="inlineStr">
        <is>
          <t>Nesta loja a comissão paga é o DOBRO da apurada — por isso os dois valores são diferentes.</t>
        </is>
      </c>
    </row>
    <row r="43">
      <c r="B43" s="35" t="inlineStr">
        <is>
          <t>Os valores de INSS e IRRF são calculados pela contabilidade e só aparecem depois de preenchidos na aba HOLERITE SET.26.</t>
        </is>
      </c>
    </row>
    <row r="44">
      <c r="B44" s="35" t="inlineStr">
        <is>
          <t>Para mandar para o colaborador: selecione o nome acima e imprima esta aba em PDF (ou tire um print).</t>
        </is>
      </c>
    </row>
  </sheetData>
  <mergeCells count="2">
    <mergeCell ref="A1:D1"/>
    <mergeCell ref="A2:D2"/>
  </mergeCells>
  <dataValidations count="1">
    <dataValidation sqref="C4" showDropDown="0" showInputMessage="0" showErrorMessage="0" allowBlank="0" error="Escolha um nome da lista." promptTitle="Colaborador" prompt="Selecione o colaborador para ver os ganhos dele." type="list">
      <formula1>"UILLIAN,MANOEL,VALDICK,INIURLE,TAMILES"</formula1>
    </dataValidation>
  </dataValidations>
  <pageMargins left="0.75" right="0.75" top="1" bottom="1" header="0.5" footer="0.5"/>
  <pageSetup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22" customWidth="1" min="8" max="8"/>
    <col width="62" customWidth="1" min="9" max="9"/>
  </cols>
  <sheetData>
    <row r="1" ht="26" customHeight="1">
      <c r="A1" s="1" t="inlineStr">
        <is>
          <t>APONTAMENTO DO PONTO — SETEMBRO/2026</t>
        </is>
      </c>
    </row>
    <row r="2" ht="18" customHeight="1">
      <c r="A2" s="2" t="inlineStr">
        <is>
          <t>Loja TRANCOSO · horas extras, adicional noturno e feriado trabalhado · alimenta a aba HOLERITE SET.26</t>
        </is>
      </c>
    </row>
    <row r="4" ht="26" customHeight="1">
      <c r="A4" s="13" t="inlineStr">
        <is>
          <t>FUNCIONÁRIO</t>
        </is>
      </c>
      <c r="B4" s="13" t="inlineStr">
        <is>
          <t>OCORRÊNCIA</t>
        </is>
      </c>
      <c r="C4" s="13" t="inlineStr">
        <is>
          <t>QTDE</t>
        </is>
      </c>
      <c r="D4" s="13" t="inlineStr">
        <is>
          <t>UNIDADE</t>
        </is>
      </c>
      <c r="E4" s="13" t="inlineStr">
        <is>
          <t>SALÁRIO BASE</t>
        </is>
      </c>
      <c r="F4" s="13" t="inlineStr">
        <is>
          <t>VALOR UNITÁRIO</t>
        </is>
      </c>
      <c r="G4" s="13" t="inlineStr">
        <is>
          <t>TOTAL</t>
        </is>
      </c>
      <c r="H4" s="13" t="inlineStr">
        <is>
          <t>RUBRICA DESTINO</t>
        </is>
      </c>
      <c r="I4" s="13" t="inlineStr">
        <is>
          <t>OBSERVAÇÃO</t>
        </is>
      </c>
    </row>
    <row r="5">
      <c r="A5" s="15" t="inlineStr">
        <is>
          <t>VALDICK</t>
        </is>
      </c>
      <c r="B5" s="26" t="inlineStr">
        <is>
          <t>Registro informativo</t>
        </is>
      </c>
      <c r="C5" s="8" t="n">
        <v>30</v>
      </c>
      <c r="D5" s="14" t="inlineStr">
        <is>
          <t>dias</t>
        </is>
      </c>
      <c r="E5" s="30">
        <f>IFERROR(INDEX('HOLERITE SET.26'!$B$6:$F$6,1,MATCH(A5,'HOLERITE SET.26'!$B$4:$F$4,0)),0)</f>
        <v/>
      </c>
      <c r="F5" s="32" t="n">
        <v>0</v>
      </c>
      <c r="G5" s="20">
        <f>ROUND(C5*F5,2)</f>
        <v/>
      </c>
      <c r="H5" s="48" t="inlineStr">
        <is>
          <t>—</t>
        </is>
      </c>
      <c r="I5" s="29" t="inlineStr">
        <is>
          <t>Férias de 01 a 30/09/2026 — mês inteiro. Salário zerado no holerite; férias e 1/3 vão em recibo próprio.</t>
        </is>
      </c>
    </row>
    <row r="6">
      <c r="A6" s="15" t="inlineStr">
        <is>
          <t>TAMILES</t>
        </is>
      </c>
      <c r="B6" s="26" t="inlineStr">
        <is>
          <t>Atestado médico (abonado)</t>
        </is>
      </c>
      <c r="C6" s="8" t="n">
        <v>7</v>
      </c>
      <c r="D6" s="14" t="inlineStr">
        <is>
          <t>dias</t>
        </is>
      </c>
      <c r="E6" s="30">
        <f>IFERROR(INDEX('HOLERITE SET.26'!$B$6:$F$6,1,MATCH(A6,'HOLERITE SET.26'!$B$4:$F$4,0)),0)</f>
        <v/>
      </c>
      <c r="F6" s="32" t="n">
        <v>0</v>
      </c>
      <c r="G6" s="20">
        <f>ROUND(C6*F6,2)</f>
        <v/>
      </c>
      <c r="H6" s="48" t="inlineStr">
        <is>
          <t>—</t>
        </is>
      </c>
      <c r="I6" s="29" t="inlineStr">
        <is>
          <t>Atestado médico de 02 a 08/09/2026, entregue em 02/09. Até 15 dias é abonado pela empresa: falta justificada, SEM desconto de salário nem de DSR. Anexar o atestado à pasta da funcionária.</t>
        </is>
      </c>
    </row>
    <row r="7">
      <c r="A7" s="49" t="n"/>
      <c r="B7" s="49" t="n"/>
      <c r="C7" s="49" t="n"/>
      <c r="D7" s="49" t="n"/>
      <c r="E7" s="30">
        <f>IFERROR(INDEX('HOLERITE SET.26'!$B$6:$F$6,1,MATCH(A7,'HOLERITE SET.26'!$B$4:$F$4,0)),0)</f>
        <v/>
      </c>
      <c r="F7" s="31" t="n"/>
      <c r="G7" s="20">
        <f>ROUND(C7*F7,2)</f>
        <v/>
      </c>
      <c r="H7" s="49" t="n"/>
      <c r="I7" s="49" t="n"/>
    </row>
    <row r="8">
      <c r="A8" s="49" t="n"/>
      <c r="B8" s="49" t="n"/>
      <c r="C8" s="49" t="n"/>
      <c r="D8" s="49" t="n"/>
      <c r="E8" s="30">
        <f>IFERROR(INDEX('HOLERITE SET.26'!$B$6:$F$6,1,MATCH(A8,'HOLERITE SET.26'!$B$4:$F$4,0)),0)</f>
        <v/>
      </c>
      <c r="F8" s="31" t="n"/>
      <c r="G8" s="20">
        <f>ROUND(C8*F8,2)</f>
        <v/>
      </c>
      <c r="H8" s="49" t="n"/>
      <c r="I8" s="49" t="n"/>
    </row>
    <row r="9">
      <c r="A9" s="49" t="n"/>
      <c r="B9" s="49" t="n"/>
      <c r="C9" s="49" t="n"/>
      <c r="D9" s="49" t="n"/>
      <c r="E9" s="30">
        <f>IFERROR(INDEX('HOLERITE SET.26'!$B$6:$F$6,1,MATCH(A9,'HOLERITE SET.26'!$B$4:$F$4,0)),0)</f>
        <v/>
      </c>
      <c r="F9" s="31" t="n"/>
      <c r="G9" s="20">
        <f>ROUND(C9*F9,2)</f>
        <v/>
      </c>
      <c r="H9" s="49" t="n"/>
      <c r="I9" s="49" t="n"/>
    </row>
    <row r="10">
      <c r="A10" s="49" t="n"/>
      <c r="B10" s="49" t="n"/>
      <c r="C10" s="49" t="n"/>
      <c r="D10" s="49" t="n"/>
      <c r="E10" s="30">
        <f>IFERROR(INDEX('HOLERITE SET.26'!$B$6:$F$6,1,MATCH(A10,'HOLERITE SET.26'!$B$4:$F$4,0)),0)</f>
        <v/>
      </c>
      <c r="F10" s="31" t="n"/>
      <c r="G10" s="20">
        <f>ROUND(C10*F10,2)</f>
        <v/>
      </c>
      <c r="H10" s="49" t="n"/>
      <c r="I10" s="49" t="n"/>
    </row>
    <row r="11">
      <c r="A11" s="49" t="n"/>
      <c r="B11" s="49" t="n"/>
      <c r="C11" s="49" t="n"/>
      <c r="D11" s="49" t="n"/>
      <c r="E11" s="30">
        <f>IFERROR(INDEX('HOLERITE SET.26'!$B$6:$F$6,1,MATCH(A11,'HOLERITE SET.26'!$B$4:$F$4,0)),0)</f>
        <v/>
      </c>
      <c r="F11" s="31" t="n"/>
      <c r="G11" s="20">
        <f>ROUND(C11*F11,2)</f>
        <v/>
      </c>
      <c r="H11" s="49" t="n"/>
      <c r="I11" s="49" t="n"/>
    </row>
    <row r="12">
      <c r="A12" s="49" t="n"/>
      <c r="B12" s="49" t="n"/>
      <c r="C12" s="49" t="n"/>
      <c r="D12" s="49" t="n"/>
      <c r="E12" s="30">
        <f>IFERROR(INDEX('HOLERITE SET.26'!$B$6:$F$6,1,MATCH(A12,'HOLERITE SET.26'!$B$4:$F$4,0)),0)</f>
        <v/>
      </c>
      <c r="F12" s="31" t="n"/>
      <c r="G12" s="20">
        <f>ROUND(C12*F12,2)</f>
        <v/>
      </c>
      <c r="H12" s="49" t="n"/>
      <c r="I12" s="49" t="n"/>
    </row>
    <row r="13">
      <c r="A13" s="49" t="n"/>
      <c r="B13" s="49" t="n"/>
      <c r="C13" s="49" t="n"/>
      <c r="D13" s="49" t="n"/>
      <c r="E13" s="30">
        <f>IFERROR(INDEX('HOLERITE SET.26'!$B$6:$F$6,1,MATCH(A13,'HOLERITE SET.26'!$B$4:$F$4,0)),0)</f>
        <v/>
      </c>
      <c r="F13" s="31" t="n"/>
      <c r="G13" s="20">
        <f>ROUND(C13*F13,2)</f>
        <v/>
      </c>
      <c r="H13" s="49" t="n"/>
      <c r="I13" s="49" t="n"/>
    </row>
    <row r="14">
      <c r="A14" s="49" t="n"/>
      <c r="B14" s="49" t="n"/>
      <c r="C14" s="49" t="n"/>
      <c r="D14" s="49" t="n"/>
      <c r="E14" s="30">
        <f>IFERROR(INDEX('HOLERITE SET.26'!$B$6:$F$6,1,MATCH(A14,'HOLERITE SET.26'!$B$4:$F$4,0)),0)</f>
        <v/>
      </c>
      <c r="F14" s="31" t="n"/>
      <c r="G14" s="20">
        <f>ROUND(C14*F14,2)</f>
        <v/>
      </c>
      <c r="H14" s="49" t="n"/>
      <c r="I14" s="49" t="n"/>
    </row>
    <row r="15">
      <c r="A15" s="18" t="n"/>
      <c r="B15" s="19" t="inlineStr">
        <is>
          <t>TOTAL</t>
        </is>
      </c>
      <c r="C15" s="18" t="n"/>
      <c r="D15" s="18" t="n"/>
      <c r="E15" s="18" t="n"/>
      <c r="F15" s="18" t="n"/>
      <c r="G15" s="20">
        <f>SUM(G5:G14)</f>
        <v/>
      </c>
      <c r="H15" s="18" t="n"/>
      <c r="I15" s="18" t="n"/>
    </row>
    <row r="17" ht="24" customHeight="1">
      <c r="A17" s="9" t="inlineStr">
        <is>
          <t>Salário-hora = salário base ÷ 220. Hora extra = salário-hora × 1,5. Adicional noturno = salário-hora × 20%. Feriado trabalhado sem folga = 1 salário-dia a mais (salário base ÷ 30).</t>
        </is>
      </c>
    </row>
    <row r="18" ht="24" customHeight="1">
      <c r="A18" s="9" t="inlineStr">
        <is>
          <t>No salário de R$ 1.621,00: 40 horas extras dão R$ 442,09 e 24 horas dão R$ 265,25 — é a mesma conta usada na planilha de julho.</t>
        </is>
      </c>
    </row>
    <row r="19" ht="24" customHeight="1">
      <c r="A19" s="9" t="inlineStr">
        <is>
          <t>As linhas em branco são para acrescentar ocorrências: preencha funcionário, ocorrência, quantidade, valor unitário e a rubrica de destino (HORAS EXTRAS ou ADICIONAL NOTURNO).</t>
        </is>
      </c>
    </row>
    <row r="20" ht="24" customHeight="1">
      <c r="A20" s="9" t="inlineStr">
        <is>
          <t>Os totais desta aba entram sozinhos nas linhas HORAS EXTRAS e ADICIONAL NOTURNO da aba HOLERITE SET.26.</t>
        </is>
      </c>
    </row>
  </sheetData>
  <autoFilter ref="A4:I14"/>
  <mergeCells count="6">
    <mergeCell ref="A19:I19"/>
    <mergeCell ref="A2:I2"/>
    <mergeCell ref="A1:I1"/>
    <mergeCell ref="A17:I17"/>
    <mergeCell ref="A18:I18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2026-10-02T21:37:57Z</dcterms:created>
  <dcterms:modified xsi:type="dcterms:W3CDTF">2026-10-02T21:37:57Z</dcterms:modified>
</cp:coreProperties>
</file>