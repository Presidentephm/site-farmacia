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CELIA AGO.26" sheetId="1" state="visible" r:id="rId1"/>
  </sheets>
  <definedNames>
    <definedName name="_xlnm._FilterDatabase" localSheetId="0" hidden="1">'ANA CELIA AGO.26'!$A$4:$I$16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-R$ #,##0.00;&quot;-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i val="1"/>
      <color rgb="00000000"/>
      <sz val="9"/>
    </font>
    <font>
      <name val="Arial"/>
      <color rgb="000000FF"/>
      <sz val="10"/>
    </font>
    <font>
      <name val="Arial"/>
      <b val="1"/>
      <color rgb="00000000"/>
      <sz val="11"/>
    </font>
    <font>
      <name val="Arial"/>
      <b val="1"/>
      <color rgb="00C00000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0F0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4" borderId="1" pivotButton="0" quotePrefix="0" xfId="0"/>
    <xf numFmtId="0" fontId="5" fillId="4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5" borderId="1" pivotButton="0" quotePrefix="0" xfId="0"/>
    <xf numFmtId="1" fontId="4" fillId="5" borderId="1" applyAlignment="1" pivotButton="0" quotePrefix="0" xfId="0">
      <alignment horizontal="center"/>
    </xf>
    <xf numFmtId="164" fontId="4" fillId="5" borderId="1" pivotButton="0" quotePrefix="0" xfId="0"/>
    <xf numFmtId="0" fontId="0" fillId="5" borderId="1" pivotButton="0" quotePrefix="0" xfId="0"/>
    <xf numFmtId="0" fontId="6" fillId="6" borderId="0" pivotButton="0" quotePrefix="0" xfId="0"/>
    <xf numFmtId="0" fontId="0" fillId="6" borderId="0" pivotButton="0" quotePrefix="0" xfId="0"/>
    <xf numFmtId="0" fontId="0" fillId="0" borderId="4" pivotButton="0" quotePrefix="0" xfId="0"/>
    <xf numFmtId="0" fontId="0" fillId="0" borderId="5" pivotButton="0" quotePrefix="0" xfId="0"/>
    <xf numFmtId="1" fontId="5" fillId="0" borderId="1" pivotButton="0" quotePrefix="0" xfId="0"/>
    <xf numFmtId="0" fontId="7" fillId="0" borderId="0" applyAlignment="1" pivotButton="0" quotePrefix="0" xfId="0">
      <alignment vertical="center" wrapText="1"/>
    </xf>
    <xf numFmtId="0" fontId="5" fillId="7" borderId="1" pivotButton="0" quotePrefix="0" xfId="0"/>
    <xf numFmtId="0" fontId="0" fillId="7" borderId="4" pivotButton="0" quotePrefix="0" xfId="0"/>
    <xf numFmtId="0" fontId="0" fillId="7" borderId="5" pivotButton="0" quotePrefix="0" xfId="0"/>
    <xf numFmtId="164" fontId="8" fillId="7" borderId="1" pivotButton="0" quotePrefix="0" xfId="0"/>
    <xf numFmtId="0" fontId="4" fillId="8" borderId="1" pivotButton="0" quotePrefix="0" xfId="0"/>
    <xf numFmtId="0" fontId="0" fillId="8" borderId="4" pivotButton="0" quotePrefix="0" xfId="0"/>
    <xf numFmtId="0" fontId="0" fillId="8" borderId="5" pivotButton="0" quotePrefix="0" xfId="0"/>
    <xf numFmtId="164" fontId="9" fillId="8" borderId="1" pivotButton="0" quotePrefix="0" xfId="0"/>
    <xf numFmtId="164" fontId="5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14" customWidth="1" min="5" max="5"/>
    <col width="14" customWidth="1" min="6" max="6"/>
    <col width="12" customWidth="1" min="7" max="7"/>
    <col width="11" customWidth="1" min="8" max="8"/>
    <col width="16" customWidth="1" min="9" max="9"/>
  </cols>
  <sheetData>
    <row r="1" ht="26" customHeight="1">
      <c r="A1" s="1" t="inlineStr">
        <is>
          <t>DIAS TRABALHADOS E VENDAS — ANA CELIA (FOLGUISTA)</t>
        </is>
      </c>
    </row>
    <row r="2">
      <c r="A2" s="2" t="inlineStr">
        <is>
          <t>Loja CENTRO (matriz) · código 131 · agosto/2026 · fonte InovaFarma, extraído em 03/09/2026</t>
        </is>
      </c>
    </row>
    <row r="4" ht="28" customHeight="1">
      <c r="A4" s="3" t="inlineStr">
        <is>
          <t>DATA</t>
        </is>
      </c>
      <c r="B4" s="3" t="inlineStr">
        <is>
          <t>DIA DA SEMANA</t>
        </is>
      </c>
      <c r="C4" s="3" t="inlineStr">
        <is>
          <t>PEDIDOS</t>
        </is>
      </c>
      <c r="D4" s="3" t="inlineStr">
        <is>
          <t>ITENS</t>
        </is>
      </c>
      <c r="E4" s="3" t="inlineStr">
        <is>
          <t>VENDA BRUTA</t>
        </is>
      </c>
      <c r="F4" s="3" t="inlineStr">
        <is>
          <t>VENDA LÍQUIDA</t>
        </is>
      </c>
      <c r="G4" s="3" t="inlineStr">
        <is>
          <t>COMISSÃO</t>
        </is>
      </c>
      <c r="H4" s="3" t="inlineStr">
        <is>
          <t>INCENTIVO</t>
        </is>
      </c>
      <c r="I4" s="3" t="inlineStr">
        <is>
          <t>1ª / ÚLTIMA VENDA</t>
        </is>
      </c>
    </row>
    <row r="5">
      <c r="A5" s="4" t="inlineStr">
        <is>
          <t>02/08/2026</t>
        </is>
      </c>
      <c r="B5" s="5" t="inlineStr">
        <is>
          <t>domingo</t>
        </is>
      </c>
      <c r="C5" s="6" t="n">
        <v>8</v>
      </c>
      <c r="D5" s="6" t="n">
        <v>13</v>
      </c>
      <c r="E5" s="7" t="n">
        <v>83.45999999999999</v>
      </c>
      <c r="F5" s="7" t="n">
        <v>83.45999999999999</v>
      </c>
      <c r="G5" s="7" t="n">
        <v>1.67</v>
      </c>
      <c r="H5" s="7" t="n">
        <v>0</v>
      </c>
      <c r="I5" s="6" t="inlineStr">
        <is>
          <t>15:46 — 18:58</t>
        </is>
      </c>
    </row>
    <row r="6">
      <c r="A6" s="8" t="inlineStr">
        <is>
          <t>05/08/2026</t>
        </is>
      </c>
      <c r="B6" s="9" t="inlineStr">
        <is>
          <t>quarta</t>
        </is>
      </c>
      <c r="C6" s="10" t="n">
        <v>21</v>
      </c>
      <c r="D6" s="10" t="n">
        <v>32</v>
      </c>
      <c r="E6" s="11" t="n">
        <v>249.75</v>
      </c>
      <c r="F6" s="11" t="n">
        <v>225.78</v>
      </c>
      <c r="G6" s="11" t="n">
        <v>3.86</v>
      </c>
      <c r="H6" s="11" t="n">
        <v>0</v>
      </c>
      <c r="I6" s="10" t="inlineStr">
        <is>
          <t>15:28 — 20:47</t>
        </is>
      </c>
    </row>
    <row r="7">
      <c r="A7" s="8" t="inlineStr">
        <is>
          <t>07/08/2026</t>
        </is>
      </c>
      <c r="B7" s="9" t="inlineStr">
        <is>
          <t>sexta</t>
        </is>
      </c>
      <c r="C7" s="10" t="n">
        <v>15</v>
      </c>
      <c r="D7" s="10" t="n">
        <v>33</v>
      </c>
      <c r="E7" s="11" t="n">
        <v>258.1</v>
      </c>
      <c r="F7" s="11" t="n">
        <v>248.28</v>
      </c>
      <c r="G7" s="11" t="n">
        <v>5.62</v>
      </c>
      <c r="H7" s="11" t="n">
        <v>0</v>
      </c>
      <c r="I7" s="10" t="inlineStr">
        <is>
          <t>16:27 — 20:45</t>
        </is>
      </c>
    </row>
    <row r="8">
      <c r="A8" s="4" t="inlineStr">
        <is>
          <t>09/08/2026</t>
        </is>
      </c>
      <c r="B8" s="5" t="inlineStr">
        <is>
          <t>domingo</t>
        </is>
      </c>
      <c r="C8" s="6" t="n">
        <v>11</v>
      </c>
      <c r="D8" s="6" t="n">
        <v>12</v>
      </c>
      <c r="E8" s="7" t="n">
        <v>248.91</v>
      </c>
      <c r="F8" s="7" t="n">
        <v>246.42</v>
      </c>
      <c r="G8" s="7" t="n">
        <v>6.23</v>
      </c>
      <c r="H8" s="7" t="n">
        <v>0</v>
      </c>
      <c r="I8" s="6" t="inlineStr">
        <is>
          <t>15:37 — 19:56</t>
        </is>
      </c>
    </row>
    <row r="9">
      <c r="A9" s="8" t="inlineStr">
        <is>
          <t>12/08/2026</t>
        </is>
      </c>
      <c r="B9" s="9" t="inlineStr">
        <is>
          <t>quarta</t>
        </is>
      </c>
      <c r="C9" s="10" t="n">
        <v>24</v>
      </c>
      <c r="D9" s="10" t="n">
        <v>43</v>
      </c>
      <c r="E9" s="11" t="n">
        <v>451.21</v>
      </c>
      <c r="F9" s="11" t="n">
        <v>441.38</v>
      </c>
      <c r="G9" s="11" t="n">
        <v>10.95</v>
      </c>
      <c r="H9" s="11" t="n">
        <v>0</v>
      </c>
      <c r="I9" s="10" t="inlineStr">
        <is>
          <t>15:35 — 21:57</t>
        </is>
      </c>
    </row>
    <row r="10">
      <c r="A10" s="8" t="inlineStr">
        <is>
          <t>14/08/2026</t>
        </is>
      </c>
      <c r="B10" s="9" t="inlineStr">
        <is>
          <t>sexta</t>
        </is>
      </c>
      <c r="C10" s="10" t="n">
        <v>20</v>
      </c>
      <c r="D10" s="10" t="n">
        <v>37</v>
      </c>
      <c r="E10" s="11" t="n">
        <v>413.16</v>
      </c>
      <c r="F10" s="11" t="n">
        <v>397.79</v>
      </c>
      <c r="G10" s="11" t="n">
        <v>7.43</v>
      </c>
      <c r="H10" s="11" t="n">
        <v>0</v>
      </c>
      <c r="I10" s="10" t="inlineStr">
        <is>
          <t>15:31 — 20:29</t>
        </is>
      </c>
    </row>
    <row r="11">
      <c r="A11" s="4" t="inlineStr">
        <is>
          <t>16/08/2026</t>
        </is>
      </c>
      <c r="B11" s="5" t="inlineStr">
        <is>
          <t>domingo</t>
        </is>
      </c>
      <c r="C11" s="6" t="n">
        <v>10</v>
      </c>
      <c r="D11" s="6" t="n">
        <v>17</v>
      </c>
      <c r="E11" s="7" t="n">
        <v>235.66</v>
      </c>
      <c r="F11" s="7" t="n">
        <v>192.41</v>
      </c>
      <c r="G11" s="7" t="n">
        <v>5.71</v>
      </c>
      <c r="H11" s="7" t="n">
        <v>0</v>
      </c>
      <c r="I11" s="6" t="inlineStr">
        <is>
          <t>15:11 — 19:05</t>
        </is>
      </c>
    </row>
    <row r="12">
      <c r="A12" s="8" t="inlineStr">
        <is>
          <t>19/08/2026</t>
        </is>
      </c>
      <c r="B12" s="9" t="inlineStr">
        <is>
          <t>quarta</t>
        </is>
      </c>
      <c r="C12" s="10" t="n">
        <v>26</v>
      </c>
      <c r="D12" s="10" t="n">
        <v>42</v>
      </c>
      <c r="E12" s="11" t="n">
        <v>459.15</v>
      </c>
      <c r="F12" s="11" t="n">
        <v>375.27</v>
      </c>
      <c r="G12" s="11" t="n">
        <v>9.630000000000001</v>
      </c>
      <c r="H12" s="11" t="n">
        <v>0</v>
      </c>
      <c r="I12" s="10" t="inlineStr">
        <is>
          <t>15:59 — 22:12</t>
        </is>
      </c>
    </row>
    <row r="13">
      <c r="A13" s="4" t="inlineStr">
        <is>
          <t>23/08/2026</t>
        </is>
      </c>
      <c r="B13" s="5" t="inlineStr">
        <is>
          <t>domingo</t>
        </is>
      </c>
      <c r="C13" s="6" t="n">
        <v>18</v>
      </c>
      <c r="D13" s="6" t="n">
        <v>27</v>
      </c>
      <c r="E13" s="7" t="n">
        <v>282.4</v>
      </c>
      <c r="F13" s="7" t="n">
        <v>276.13</v>
      </c>
      <c r="G13" s="7" t="n">
        <v>6.12</v>
      </c>
      <c r="H13" s="7" t="n">
        <v>0</v>
      </c>
      <c r="I13" s="6" t="inlineStr">
        <is>
          <t>16:10 — 19:58</t>
        </is>
      </c>
    </row>
    <row r="14">
      <c r="A14" s="8" t="inlineStr">
        <is>
          <t>26/08/2026</t>
        </is>
      </c>
      <c r="B14" s="9" t="inlineStr">
        <is>
          <t>quarta</t>
        </is>
      </c>
      <c r="C14" s="10" t="n">
        <v>17</v>
      </c>
      <c r="D14" s="10" t="n">
        <v>34</v>
      </c>
      <c r="E14" s="11" t="n">
        <v>518.98</v>
      </c>
      <c r="F14" s="11" t="n">
        <v>384.49</v>
      </c>
      <c r="G14" s="11" t="n">
        <v>12.17</v>
      </c>
      <c r="H14" s="11" t="n">
        <v>0</v>
      </c>
      <c r="I14" s="10" t="inlineStr">
        <is>
          <t>15:47 — 20:50</t>
        </is>
      </c>
    </row>
    <row r="15">
      <c r="A15" s="8" t="inlineStr">
        <is>
          <t>28/08/2026</t>
        </is>
      </c>
      <c r="B15" s="9" t="inlineStr">
        <is>
          <t>sexta</t>
        </is>
      </c>
      <c r="C15" s="10" t="n">
        <v>21</v>
      </c>
      <c r="D15" s="10" t="n">
        <v>30</v>
      </c>
      <c r="E15" s="11" t="n">
        <v>322.58</v>
      </c>
      <c r="F15" s="11" t="n">
        <v>304.58</v>
      </c>
      <c r="G15" s="11" t="n">
        <v>6.35</v>
      </c>
      <c r="H15" s="11" t="n">
        <v>0</v>
      </c>
      <c r="I15" s="10" t="inlineStr">
        <is>
          <t>16:10 — 21:46</t>
        </is>
      </c>
    </row>
    <row r="16">
      <c r="A16" s="4" t="inlineStr">
        <is>
          <t>30/08/2026</t>
        </is>
      </c>
      <c r="B16" s="5" t="inlineStr">
        <is>
          <t>domingo</t>
        </is>
      </c>
      <c r="C16" s="6" t="n">
        <v>15</v>
      </c>
      <c r="D16" s="6" t="n">
        <v>25</v>
      </c>
      <c r="E16" s="7" t="n">
        <v>401.27</v>
      </c>
      <c r="F16" s="7" t="n">
        <v>368.3</v>
      </c>
      <c r="G16" s="7" t="n">
        <v>7.82</v>
      </c>
      <c r="H16" s="7" t="n">
        <v>0</v>
      </c>
      <c r="I16" s="6" t="inlineStr">
        <is>
          <t>15:42 — 19:51</t>
        </is>
      </c>
    </row>
    <row r="17">
      <c r="A17" s="12" t="inlineStr">
        <is>
          <t>TOTAL</t>
        </is>
      </c>
      <c r="B17" s="12" t="inlineStr">
        <is>
          <t>12 dias</t>
        </is>
      </c>
      <c r="C17" s="13">
        <f>SUM(C5:C16)</f>
        <v/>
      </c>
      <c r="D17" s="13">
        <f>SUM(D5:D16)</f>
        <v/>
      </c>
      <c r="E17" s="14">
        <f>SUM(E5:E16)</f>
        <v/>
      </c>
      <c r="F17" s="14">
        <f>SUM(F5:F16)</f>
        <v/>
      </c>
      <c r="G17" s="14">
        <f>SUM(G5:G16)</f>
        <v/>
      </c>
      <c r="H17" s="14">
        <f>SUM(H5:H16)</f>
        <v/>
      </c>
      <c r="I17" s="15" t="n"/>
    </row>
    <row r="19">
      <c r="A19" s="16" t="inlineStr">
        <is>
          <t>DIÁRIAS PARA O CONTAS A PAGAR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9" t="inlineStr">
        <is>
          <t>Dias com venda registrada</t>
        </is>
      </c>
      <c r="B20" s="18" t="n"/>
      <c r="C20" s="18" t="n"/>
      <c r="D20" s="19" t="n"/>
      <c r="E20" s="20" t="n">
        <v>12</v>
      </c>
      <c r="F20" s="21" t="inlineStr">
        <is>
          <t>Cada dia com pedido no código dela conta como um dia trabalhado.</t>
        </is>
      </c>
    </row>
    <row r="21">
      <c r="A21" s="22" t="inlineStr">
        <is>
          <t>Valor da diária</t>
        </is>
      </c>
      <c r="B21" s="23" t="n"/>
      <c r="C21" s="23" t="n"/>
      <c r="D21" s="24" t="n"/>
      <c r="E21" s="25" t="n">
        <v>100</v>
      </c>
      <c r="F21" s="21" t="inlineStr">
        <is>
          <t>Valor combinado com a empresa.</t>
        </is>
      </c>
    </row>
    <row r="22">
      <c r="A22" s="26" t="inlineStr">
        <is>
          <t>TOTAL DE DIÁRIAS</t>
        </is>
      </c>
      <c r="B22" s="27" t="n"/>
      <c r="C22" s="27" t="n"/>
      <c r="D22" s="28" t="n"/>
      <c r="E22" s="29">
        <f>E20*E21</f>
        <v/>
      </c>
      <c r="F22" s="21" t="inlineStr">
        <is>
          <t>Levar para o contas a pagar / aba FOLGUISTAS do relatório do Centro.</t>
        </is>
      </c>
    </row>
    <row r="23">
      <c r="A23" s="9" t="inlineStr">
        <is>
          <t>Comissão apurada no período</t>
        </is>
      </c>
      <c r="B23" s="18" t="n"/>
      <c r="C23" s="18" t="n"/>
      <c r="D23" s="19" t="n"/>
      <c r="E23" s="30">
        <f>G17</f>
        <v/>
      </c>
      <c r="F23" s="21" t="inlineStr">
        <is>
          <t>Confirmar se folguista recebe comissão além da diária.</t>
        </is>
      </c>
    </row>
    <row r="25">
      <c r="A25" s="31" t="inlineStr">
        <is>
          <t>COMO LER ESTE RELATÓRIO:</t>
        </is>
      </c>
    </row>
    <row r="26">
      <c r="A26" s="32" t="inlineStr">
        <is>
          <t>A lista traz os dias em que houve VENDA registrada no código 131. Um dia em que ela tenha trabalhado sem realizar nenhuma venda não aparece aqui — conferir com a escala da loja.</t>
        </is>
      </c>
    </row>
    <row r="27">
      <c r="A27" s="32" t="inlineStr">
        <is>
          <t>Os horários da última coluna são da primeira e da última venda do dia; servem para conferir o turno, não são registro de ponto.</t>
        </is>
      </c>
    </row>
    <row r="28">
      <c r="A28" s="32" t="inlineStr">
        <is>
          <t>Os domingos estão destacados em vermelho claro.</t>
        </is>
      </c>
    </row>
    <row r="29">
      <c r="A29" s="32" t="inlineStr">
        <is>
          <t>Dias da semana em que houve venda: domingo (5x), quarta (4x), sexta (3x).</t>
        </is>
      </c>
    </row>
    <row r="30">
      <c r="A30" s="32" t="inlineStr">
        <is>
          <t>Estes valores NÃO entram no holerite: folguista é pagamento por diária, lançado no contas a pagar.</t>
        </is>
      </c>
    </row>
  </sheetData>
  <autoFilter ref="A4:I16"/>
  <mergeCells count="16">
    <mergeCell ref="A29:I29"/>
    <mergeCell ref="F23:I23"/>
    <mergeCell ref="A23:D23"/>
    <mergeCell ref="A25:I25"/>
    <mergeCell ref="A2:I2"/>
    <mergeCell ref="A22:D22"/>
    <mergeCell ref="A28:I28"/>
    <mergeCell ref="A20:D20"/>
    <mergeCell ref="A21:D21"/>
    <mergeCell ref="A1:I1"/>
    <mergeCell ref="F21:I21"/>
    <mergeCell ref="A27:I27"/>
    <mergeCell ref="F20:I20"/>
    <mergeCell ref="A26:I26"/>
    <mergeCell ref="A30:I30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2026-09-07T15:27:22Z</dcterms:created>
  <dcterms:modified xsi:type="dcterms:W3CDTF">2026-09-07T15:27:22Z</dcterms:modified>
</cp:coreProperties>
</file>