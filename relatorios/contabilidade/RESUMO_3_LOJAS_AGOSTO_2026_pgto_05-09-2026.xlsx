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3 LOJAS AGO.26" sheetId="1" state="visible" r:id="rId1"/>
  </sheets>
  <definedNames>
    <definedName name="_xlnm._FilterDatabase" localSheetId="0" hidden="1">'RESUMO 3 LOJAS AGO.26'!$A$4:$Y$29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-R$ #,##0.00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4" borderId="0" pivotButton="0" quotePrefix="0" xfId="0"/>
    <xf numFmtId="0" fontId="0" fillId="4" borderId="0" pivotButton="0" quotePrefix="0" xfId="0"/>
    <xf numFmtId="0" fontId="5" fillId="0" borderId="1" pivotButton="0" quotePrefix="0" xfId="0"/>
    <xf numFmtId="164" fontId="6" fillId="0" borderId="1" pivotButton="0" quotePrefix="0" xfId="0"/>
    <xf numFmtId="164" fontId="6" fillId="5" borderId="1" pivotButton="0" quotePrefix="0" xfId="0"/>
    <xf numFmtId="164" fontId="5" fillId="6" borderId="1" pivotButton="0" quotePrefix="0" xfId="0"/>
    <xf numFmtId="164" fontId="5" fillId="5" borderId="1" pivotButton="0" quotePrefix="0" xfId="0"/>
    <xf numFmtId="164" fontId="7" fillId="7" borderId="1" pivotButton="0" quotePrefix="0" xfId="0"/>
    <xf numFmtId="0" fontId="8" fillId="0" borderId="1" applyAlignment="1" pivotButton="0" quotePrefix="0" xfId="0">
      <alignment vertical="center" wrapText="1"/>
    </xf>
    <xf numFmtId="0" fontId="5" fillId="5" borderId="1" pivotButton="0" quotePrefix="0" xfId="0"/>
    <xf numFmtId="0" fontId="0" fillId="5" borderId="1" pivotButton="0" quotePrefix="0" xfId="0"/>
    <xf numFmtId="0" fontId="9" fillId="6" borderId="1" pivotButton="0" quotePrefix="0" xfId="0"/>
    <xf numFmtId="164" fontId="9" fillId="6" borderId="1" pivotButton="0" quotePrefix="0" xfId="0"/>
    <xf numFmtId="0" fontId="0" fillId="6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1" customWidth="1" min="12" max="12"/>
    <col width="11" customWidth="1" min="13" max="13"/>
    <col width="14" customWidth="1" min="14" max="14"/>
    <col width="13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1" customWidth="1" min="23" max="23"/>
    <col width="16" customWidth="1" min="24" max="24"/>
    <col width="70" customWidth="1" min="25" max="25"/>
  </cols>
  <sheetData>
    <row r="1" ht="26" customHeight="1">
      <c r="A1" s="1" t="inlineStr">
        <is>
          <t>RESUMO PARA A CONTABILIDADE — TRÊS LOJAS</t>
        </is>
      </c>
    </row>
    <row r="2">
      <c r="A2" s="2" t="inlineStr">
        <is>
          <t>Farmácia Tropical Multi Econômica · competência AGOSTO/2026 (01/08 a 31/08) · pagamento em 05/09/2026</t>
        </is>
      </c>
    </row>
    <row r="4" ht="30" customHeight="1">
      <c r="A4" s="3" t="inlineStr">
        <is>
          <t>FUNCIONÁRIO</t>
        </is>
      </c>
      <c r="B4" s="3" t="inlineStr">
        <is>
          <t>SALÁRIO</t>
        </is>
      </c>
      <c r="C4" s="3" t="inlineStr">
        <is>
          <t>HORAS EXTRAS</t>
        </is>
      </c>
      <c r="D4" s="3" t="inlineStr">
        <is>
          <t>AD. NOTURNO</t>
        </is>
      </c>
      <c r="E4" s="3" t="inlineStr">
        <is>
          <t>COMISSÃO</t>
        </is>
      </c>
      <c r="F4" s="3" t="inlineStr">
        <is>
          <t>DSR</t>
        </is>
      </c>
      <c r="G4" s="3" t="inlineStr">
        <is>
          <t>AUX. GERÊNCIA</t>
        </is>
      </c>
      <c r="H4" s="3" t="inlineStr">
        <is>
          <t>PRÊMIO META CX</t>
        </is>
      </c>
      <c r="I4" s="3" t="inlineStr">
        <is>
          <t>INCENTIVOS</t>
        </is>
      </c>
      <c r="J4" s="3" t="inlineStr">
        <is>
          <t>PRÊMIOS / BONIFIC.</t>
        </is>
      </c>
      <c r="K4" s="3" t="inlineStr">
        <is>
          <t>DSR S/ HORA EXTRA</t>
        </is>
      </c>
      <c r="L4" s="3" t="inlineStr">
        <is>
          <t>SAL. FAMÍLIA</t>
        </is>
      </c>
      <c r="M4" s="3" t="inlineStr">
        <is>
          <t>INSUF. SALDO</t>
        </is>
      </c>
      <c r="N4" s="3" t="inlineStr">
        <is>
          <t>TOTAL PROVENTOS</t>
        </is>
      </c>
      <c r="O4" s="3" t="inlineStr">
        <is>
          <t>ADIANT. INCENT.</t>
        </is>
      </c>
      <c r="P4" s="3" t="inlineStr">
        <is>
          <t>ADIANTAMENTO SALARIAL / VALES</t>
        </is>
      </c>
      <c r="Q4" s="3" t="inlineStr">
        <is>
          <t>VALE TRANSP.</t>
        </is>
      </c>
      <c r="R4" s="3" t="inlineStr">
        <is>
          <t>INSS</t>
        </is>
      </c>
      <c r="S4" s="3" t="inlineStr">
        <is>
          <t>IRRF</t>
        </is>
      </c>
      <c r="T4" s="3" t="inlineStr">
        <is>
          <t>TOTAL DESCONTOS</t>
        </is>
      </c>
      <c r="U4" s="3" t="inlineStr">
        <is>
          <t>LÍQUIDO</t>
        </is>
      </c>
      <c r="V4" s="3" t="inlineStr">
        <is>
          <t>LÍQUIDO HOLERITE BETEL</t>
        </is>
      </c>
      <c r="W4" s="3" t="inlineStr">
        <is>
          <t>DIFERENÇA</t>
        </is>
      </c>
      <c r="X4" s="3" t="inlineStr">
        <is>
          <t>FÉRIAS PAGAS À PARTE (contas a pagar)</t>
        </is>
      </c>
      <c r="Y4" s="3" t="inlineStr">
        <is>
          <t>OBSERVAÇÃO</t>
        </is>
      </c>
    </row>
    <row r="5" ht="19" customHeight="1">
      <c r="A5" s="4" t="inlineStr">
        <is>
          <t>LOJA ARRAIAL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DEAN</t>
        </is>
      </c>
      <c r="B6" s="7" t="n">
        <v>5648.41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199</v>
      </c>
      <c r="J6" s="7" t="n">
        <v>0</v>
      </c>
      <c r="K6" s="7" t="n">
        <v>0</v>
      </c>
      <c r="L6" s="7" t="n">
        <v>0</v>
      </c>
      <c r="M6" s="7" t="n">
        <v>0</v>
      </c>
      <c r="N6" s="8">
        <f>SUM(B6:M6)</f>
        <v/>
      </c>
      <c r="O6" s="7" t="n">
        <v>-199</v>
      </c>
      <c r="P6" s="7" t="n">
        <v>-705</v>
      </c>
      <c r="Q6" s="7" t="n">
        <v>0</v>
      </c>
      <c r="R6" s="7" t="n">
        <v>-592.27</v>
      </c>
      <c r="S6" s="7" t="n">
        <v>-251.04</v>
      </c>
      <c r="T6" s="8">
        <f>SUM(O6:S6)</f>
        <v/>
      </c>
      <c r="U6" s="9">
        <f>N6+T6</f>
        <v/>
      </c>
      <c r="V6" s="7" t="n">
        <v>4100.1</v>
      </c>
      <c r="W6" s="10">
        <f>ROUND(U6-V6,2)</f>
        <v/>
      </c>
      <c r="X6" s="11" t="n"/>
      <c r="Y6" s="12" t="inlineStr">
        <is>
          <t>Não recebe comissão. Dia 15/08 trabalhado com folga compensatória.</t>
        </is>
      </c>
    </row>
    <row r="7">
      <c r="A7" s="6" t="inlineStr">
        <is>
          <t>AGNOR</t>
        </is>
      </c>
      <c r="B7" s="7" t="n">
        <v>1621</v>
      </c>
      <c r="C7" s="7" t="n">
        <v>0</v>
      </c>
      <c r="D7" s="7" t="n">
        <v>35.37</v>
      </c>
      <c r="E7" s="7" t="n">
        <v>2000</v>
      </c>
      <c r="F7" s="7" t="n">
        <v>384.62</v>
      </c>
      <c r="G7" s="7" t="n">
        <v>810.5</v>
      </c>
      <c r="H7" s="7" t="n">
        <v>0</v>
      </c>
      <c r="I7" s="7" t="n">
        <v>189</v>
      </c>
      <c r="J7" s="7" t="n">
        <v>0</v>
      </c>
      <c r="K7" s="7" t="n">
        <v>0</v>
      </c>
      <c r="L7" s="7" t="n">
        <v>0</v>
      </c>
      <c r="M7" s="7" t="n">
        <v>0</v>
      </c>
      <c r="N7" s="8">
        <f>SUM(B7:M7)</f>
        <v/>
      </c>
      <c r="O7" s="7" t="n">
        <v>-189</v>
      </c>
      <c r="P7" s="7" t="n">
        <v>-2694</v>
      </c>
      <c r="Q7" s="7" t="n">
        <v>0</v>
      </c>
      <c r="R7" s="7" t="n">
        <v>-480.71</v>
      </c>
      <c r="S7" s="7" t="n">
        <v>0</v>
      </c>
      <c r="T7" s="8">
        <f>SUM(O7:S7)</f>
        <v/>
      </c>
      <c r="U7" s="9">
        <f>N7+T7</f>
        <v/>
      </c>
      <c r="V7" s="7" t="n">
        <v>1676.78</v>
      </c>
      <c r="W7" s="10">
        <f>ROUND(U7-V7,2)</f>
        <v/>
      </c>
      <c r="X7" s="11" t="n"/>
      <c r="Y7" s="12" t="inlineStr">
        <is>
          <t>Comissão fixa de R$ 2.000,00 (apurado R$ 909,51 + complemento). 3 madrugadas = 24 h noturnas.</t>
        </is>
      </c>
    </row>
    <row r="8">
      <c r="A8" s="6" t="inlineStr">
        <is>
          <t>EDEY</t>
        </is>
      </c>
      <c r="B8" s="7" t="n">
        <v>1621</v>
      </c>
      <c r="C8" s="7" t="n">
        <v>265.25</v>
      </c>
      <c r="D8" s="7" t="n">
        <v>350</v>
      </c>
      <c r="E8" s="7" t="n">
        <v>873.76</v>
      </c>
      <c r="F8" s="7" t="n">
        <v>219.04</v>
      </c>
      <c r="G8" s="7" t="n">
        <v>0</v>
      </c>
      <c r="H8" s="7" t="n">
        <v>0</v>
      </c>
      <c r="I8" s="7" t="n">
        <v>73</v>
      </c>
      <c r="J8" s="7" t="n">
        <v>350</v>
      </c>
      <c r="K8" s="7" t="n">
        <v>51.01</v>
      </c>
      <c r="L8" s="7" t="n">
        <v>0</v>
      </c>
      <c r="M8" s="7" t="n">
        <v>0</v>
      </c>
      <c r="N8" s="8">
        <f>SUM(B8:M8)</f>
        <v/>
      </c>
      <c r="O8" s="7" t="n">
        <v>-73</v>
      </c>
      <c r="P8" s="7" t="n">
        <v>-247</v>
      </c>
      <c r="Q8" s="7" t="n">
        <v>-84.29000000000001</v>
      </c>
      <c r="R8" s="7" t="n">
        <v>-336.19</v>
      </c>
      <c r="S8" s="7" t="n">
        <v>0</v>
      </c>
      <c r="T8" s="8">
        <f>SUM(O8:S8)</f>
        <v/>
      </c>
      <c r="U8" s="9">
        <f>N8+T8</f>
        <v/>
      </c>
      <c r="V8" s="7" t="n">
        <v>3062.58</v>
      </c>
      <c r="W8" s="10">
        <f>ROUND(U8-V8,2)</f>
        <v/>
      </c>
      <c r="X8" s="11" t="n"/>
      <c r="Y8" s="12" t="inlineStr">
        <is>
          <t>24 horas extras. Adicional noturno de R$ 350,00.</t>
        </is>
      </c>
    </row>
    <row r="9">
      <c r="A9" s="6" t="inlineStr">
        <is>
          <t>JOEL</t>
        </is>
      </c>
      <c r="B9" s="7" t="n">
        <v>0</v>
      </c>
      <c r="C9" s="7" t="n">
        <v>0</v>
      </c>
      <c r="D9" s="7" t="n">
        <v>0</v>
      </c>
      <c r="E9" s="7" t="n">
        <v>103.31</v>
      </c>
      <c r="F9" s="7" t="n">
        <v>19.87</v>
      </c>
      <c r="G9" s="7" t="n">
        <v>0</v>
      </c>
      <c r="H9" s="7" t="n">
        <v>0</v>
      </c>
      <c r="I9" s="7" t="n">
        <v>22</v>
      </c>
      <c r="J9" s="7" t="n">
        <v>0</v>
      </c>
      <c r="K9" s="7" t="n">
        <v>0</v>
      </c>
      <c r="L9" s="7" t="n">
        <v>67.54000000000001</v>
      </c>
      <c r="M9" s="7" t="n">
        <v>3.24</v>
      </c>
      <c r="N9" s="8">
        <f>SUM(B9:M9)</f>
        <v/>
      </c>
      <c r="O9" s="7" t="n">
        <v>-22</v>
      </c>
      <c r="P9" s="7" t="n">
        <v>0</v>
      </c>
      <c r="Q9" s="7" t="n">
        <v>-3.24</v>
      </c>
      <c r="R9" s="7" t="n">
        <v>0</v>
      </c>
      <c r="S9" s="7" t="n">
        <v>0</v>
      </c>
      <c r="T9" s="8">
        <f>SUM(O9:S9)</f>
        <v/>
      </c>
      <c r="U9" s="9">
        <f>N9+T9</f>
        <v/>
      </c>
      <c r="V9" s="7" t="n">
        <v>67.54000000000001</v>
      </c>
      <c r="W9" s="10">
        <f>ROUND(U9-V9,2)</f>
        <v/>
      </c>
      <c r="X9" s="11" t="n"/>
      <c r="Y9" s="12" t="inlineStr">
        <is>
          <t>Férias de 01 a 31/08 em recibo próprio. A comissão de R$ 103,31 e o DSR NÃO entraram no holerite — verificar.</t>
        </is>
      </c>
    </row>
    <row r="10">
      <c r="A10" s="6" t="inlineStr">
        <is>
          <t>VALÉRIA</t>
        </is>
      </c>
      <c r="B10" s="7" t="n">
        <v>1621</v>
      </c>
      <c r="C10" s="7" t="n">
        <v>53.97</v>
      </c>
      <c r="D10" s="7" t="n">
        <v>23.58</v>
      </c>
      <c r="E10" s="7" t="n">
        <v>1141.03</v>
      </c>
      <c r="F10" s="7" t="n">
        <v>229.81</v>
      </c>
      <c r="G10" s="7" t="n">
        <v>0</v>
      </c>
      <c r="H10" s="7" t="n">
        <v>307.99</v>
      </c>
      <c r="I10" s="7" t="n">
        <v>192</v>
      </c>
      <c r="J10" s="7" t="n">
        <v>350</v>
      </c>
      <c r="K10" s="7" t="n">
        <v>10.38</v>
      </c>
      <c r="L10" s="7" t="n">
        <v>0</v>
      </c>
      <c r="M10" s="7" t="n">
        <v>0</v>
      </c>
      <c r="N10" s="8">
        <f>SUM(B10:M10)</f>
        <v/>
      </c>
      <c r="O10" s="7" t="n">
        <v>-192</v>
      </c>
      <c r="P10" s="7" t="n">
        <v>-2351</v>
      </c>
      <c r="Q10" s="7" t="n">
        <v>-84.29000000000001</v>
      </c>
      <c r="R10" s="7" t="n">
        <v>-337.12</v>
      </c>
      <c r="S10" s="7" t="n">
        <v>0</v>
      </c>
      <c r="T10" s="8">
        <f>SUM(O10:S10)</f>
        <v/>
      </c>
      <c r="U10" s="9">
        <f>N10+T10</f>
        <v/>
      </c>
      <c r="V10" s="7" t="n">
        <v>965.35</v>
      </c>
      <c r="W10" s="10">
        <f>ROUND(U10-V10,2)</f>
        <v/>
      </c>
      <c r="X10" s="11" t="n"/>
      <c r="Y10" s="12" t="inlineStr">
        <is>
          <t>Feriado 15/08 trabalhado. 2 madrugadas = 16 h noturnas, com folga no dia seguinte.</t>
        </is>
      </c>
    </row>
    <row r="11">
      <c r="A11" s="6" t="inlineStr">
        <is>
          <t>SARA</t>
        </is>
      </c>
      <c r="B11" s="7" t="n">
        <v>1621</v>
      </c>
      <c r="C11" s="7" t="n">
        <v>53.97</v>
      </c>
      <c r="D11" s="7" t="n">
        <v>0</v>
      </c>
      <c r="E11" s="7" t="n">
        <v>371.43</v>
      </c>
      <c r="F11" s="7" t="n">
        <v>81.81</v>
      </c>
      <c r="G11" s="7" t="n">
        <v>810.5</v>
      </c>
      <c r="H11" s="7" t="n">
        <v>0</v>
      </c>
      <c r="I11" s="7" t="n">
        <v>10</v>
      </c>
      <c r="J11" s="7" t="n">
        <v>350</v>
      </c>
      <c r="K11" s="7" t="n">
        <v>10.38</v>
      </c>
      <c r="L11" s="7" t="n">
        <v>0</v>
      </c>
      <c r="M11" s="7" t="n">
        <v>0</v>
      </c>
      <c r="N11" s="8">
        <f>SUM(B11:M11)</f>
        <v/>
      </c>
      <c r="O11" s="7" t="n">
        <v>-10</v>
      </c>
      <c r="P11" s="7" t="n">
        <v>-310</v>
      </c>
      <c r="Q11" s="7" t="n">
        <v>0</v>
      </c>
      <c r="R11" s="7" t="n">
        <v>-284.48</v>
      </c>
      <c r="S11" s="7" t="n">
        <v>0</v>
      </c>
      <c r="T11" s="8">
        <f>SUM(O11:S11)</f>
        <v/>
      </c>
      <c r="U11" s="9">
        <f>N11+T11</f>
        <v/>
      </c>
      <c r="V11" s="7" t="n">
        <v>2704.61</v>
      </c>
      <c r="W11" s="10">
        <f>ROUND(U11-V11,2)</f>
        <v/>
      </c>
      <c r="X11" s="11" t="n"/>
      <c r="Y11" s="12" t="inlineStr">
        <is>
          <t>Comissão do Arraial (R$ 368,78) + loja Centro (R$ 2,65). Feriado 15/08 trabalhado.</t>
        </is>
      </c>
    </row>
    <row r="12">
      <c r="A12" s="6" t="inlineStr">
        <is>
          <t>CAMILA</t>
        </is>
      </c>
      <c r="B12" s="7" t="n">
        <v>1621</v>
      </c>
      <c r="C12" s="7" t="n">
        <v>53.97</v>
      </c>
      <c r="D12" s="7" t="n">
        <v>0</v>
      </c>
      <c r="E12" s="7" t="n">
        <v>241.5</v>
      </c>
      <c r="F12" s="7" t="n">
        <v>56.82</v>
      </c>
      <c r="G12" s="7" t="n">
        <v>0</v>
      </c>
      <c r="H12" s="7" t="n">
        <v>0</v>
      </c>
      <c r="I12" s="7" t="n">
        <v>0</v>
      </c>
      <c r="J12" s="7" t="n">
        <v>250</v>
      </c>
      <c r="K12" s="7" t="n">
        <v>10.38</v>
      </c>
      <c r="L12" s="7" t="n">
        <v>0</v>
      </c>
      <c r="M12" s="7" t="n">
        <v>0</v>
      </c>
      <c r="N12" s="8">
        <f>SUM(B12:M12)</f>
        <v/>
      </c>
      <c r="O12" s="7" t="n">
        <v>-0</v>
      </c>
      <c r="P12" s="7" t="n">
        <v>0</v>
      </c>
      <c r="Q12" s="7" t="n">
        <v>0</v>
      </c>
      <c r="R12" s="7" t="n">
        <v>-176.71</v>
      </c>
      <c r="S12" s="7" t="n">
        <v>0</v>
      </c>
      <c r="T12" s="8">
        <f>SUM(O12:S12)</f>
        <v/>
      </c>
      <c r="U12" s="9">
        <f>N12+T12</f>
        <v/>
      </c>
      <c r="V12" s="7" t="n">
        <v>2056.96</v>
      </c>
      <c r="W12" s="10">
        <f>ROUND(U12-V12,2)</f>
        <v/>
      </c>
      <c r="X12" s="11" t="n"/>
      <c r="Y12" s="12" t="inlineStr">
        <is>
          <t>1º mês completo após a admissão. Feriado 15/08 trabalhado.</t>
        </is>
      </c>
    </row>
    <row r="13">
      <c r="A13" s="6" t="inlineStr">
        <is>
          <t>NATI</t>
        </is>
      </c>
      <c r="B13" s="7" t="n">
        <v>1621</v>
      </c>
      <c r="C13" s="7" t="n">
        <v>241.86</v>
      </c>
      <c r="D13" s="7" t="n">
        <v>25.05</v>
      </c>
      <c r="E13" s="7" t="n">
        <v>243.14</v>
      </c>
      <c r="F13" s="7" t="n">
        <v>93.27</v>
      </c>
      <c r="G13" s="7" t="n">
        <v>0</v>
      </c>
      <c r="H13" s="7" t="n">
        <v>307.99</v>
      </c>
      <c r="I13" s="7" t="n">
        <v>0</v>
      </c>
      <c r="J13" s="7" t="n">
        <v>250</v>
      </c>
      <c r="K13" s="7" t="n">
        <v>46.51</v>
      </c>
      <c r="L13" s="7" t="n">
        <v>0</v>
      </c>
      <c r="M13" s="7" t="n">
        <v>0</v>
      </c>
      <c r="N13" s="8">
        <f>SUM(B13:M13)</f>
        <v/>
      </c>
      <c r="O13" s="7" t="n">
        <v>-0</v>
      </c>
      <c r="P13" s="7" t="n">
        <v>0</v>
      </c>
      <c r="Q13" s="7" t="n">
        <v>-84.29000000000001</v>
      </c>
      <c r="R13" s="7" t="n">
        <v>-230.27</v>
      </c>
      <c r="S13" s="7" t="n">
        <v>0</v>
      </c>
      <c r="T13" s="8">
        <f>SUM(O13:S13)</f>
        <v/>
      </c>
      <c r="U13" s="9">
        <f>N13+T13</f>
        <v/>
      </c>
      <c r="V13" s="7" t="n">
        <v>2514.26</v>
      </c>
      <c r="W13" s="10">
        <f>ROUND(U13-V13,2)</f>
        <v/>
      </c>
      <c r="X13" s="11" t="n"/>
      <c r="Y13" s="12" t="inlineStr">
        <is>
          <t>17 horas extras noturnas e o feriado de 15/08.</t>
        </is>
      </c>
    </row>
    <row r="14">
      <c r="A14" s="13" t="inlineStr">
        <is>
          <t>TOTAL ARRAIAL</t>
        </is>
      </c>
      <c r="B14" s="10">
        <f>SUM(B6:B13)</f>
        <v/>
      </c>
      <c r="C14" s="10">
        <f>SUM(C6:C13)</f>
        <v/>
      </c>
      <c r="D14" s="10">
        <f>SUM(D6:D13)</f>
        <v/>
      </c>
      <c r="E14" s="10">
        <f>SUM(E6:E13)</f>
        <v/>
      </c>
      <c r="F14" s="10">
        <f>SUM(F6:F13)</f>
        <v/>
      </c>
      <c r="G14" s="10">
        <f>SUM(G6:G13)</f>
        <v/>
      </c>
      <c r="H14" s="10">
        <f>SUM(H6:H13)</f>
        <v/>
      </c>
      <c r="I14" s="10">
        <f>SUM(I6:I13)</f>
        <v/>
      </c>
      <c r="J14" s="10">
        <f>SUM(J6:J13)</f>
        <v/>
      </c>
      <c r="K14" s="10">
        <f>SUM(K6:K13)</f>
        <v/>
      </c>
      <c r="L14" s="10">
        <f>SUM(L6:L13)</f>
        <v/>
      </c>
      <c r="M14" s="10">
        <f>SUM(M6:M13)</f>
        <v/>
      </c>
      <c r="N14" s="10">
        <f>SUM(N6:N13)</f>
        <v/>
      </c>
      <c r="O14" s="10">
        <f>SUM(O6:O13)</f>
        <v/>
      </c>
      <c r="P14" s="10">
        <f>SUM(P6:P13)</f>
        <v/>
      </c>
      <c r="Q14" s="10">
        <f>SUM(Q6:Q13)</f>
        <v/>
      </c>
      <c r="R14" s="10">
        <f>SUM(R6:R13)</f>
        <v/>
      </c>
      <c r="S14" s="10">
        <f>SUM(S6:S13)</f>
        <v/>
      </c>
      <c r="T14" s="10">
        <f>SUM(T6:T13)</f>
        <v/>
      </c>
      <c r="U14" s="10">
        <f>SUM(U6:U13)</f>
        <v/>
      </c>
      <c r="V14" s="10">
        <f>SUM(V6:V13)</f>
        <v/>
      </c>
      <c r="W14" s="10">
        <f>SUM(W6:W13)</f>
        <v/>
      </c>
      <c r="X14" s="10">
        <f>SUM(X6:X13)</f>
        <v/>
      </c>
      <c r="Y14" s="14" t="n"/>
    </row>
    <row r="15" ht="19" customHeight="1">
      <c r="A15" s="4" t="inlineStr">
        <is>
          <t>LOJA CENTRO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6" t="inlineStr">
        <is>
          <t>ARIANE</t>
        </is>
      </c>
      <c r="B16" s="7" t="n">
        <v>5648.41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125</v>
      </c>
      <c r="J16" s="7" t="n">
        <v>0</v>
      </c>
      <c r="K16" s="7" t="n">
        <v>0</v>
      </c>
      <c r="L16" s="7" t="n">
        <v>0</v>
      </c>
      <c r="M16" s="7" t="n">
        <v>0</v>
      </c>
      <c r="N16" s="8">
        <f>SUM(B16:M16)</f>
        <v/>
      </c>
      <c r="O16" s="7" t="n">
        <v>-125</v>
      </c>
      <c r="P16" s="7" t="n">
        <v>0</v>
      </c>
      <c r="Q16" s="7" t="n">
        <v>0</v>
      </c>
      <c r="R16" s="7" t="n">
        <v>-592.27</v>
      </c>
      <c r="S16" s="7" t="n">
        <v>-251.04</v>
      </c>
      <c r="T16" s="8">
        <f>SUM(O16:S16)</f>
        <v/>
      </c>
      <c r="U16" s="9">
        <f>N16+T16</f>
        <v/>
      </c>
      <c r="V16" s="7" t="n">
        <v>4805.1</v>
      </c>
      <c r="W16" s="10">
        <f>ROUND(U16-V16,2)</f>
        <v/>
      </c>
      <c r="X16" s="11" t="n"/>
      <c r="Y16" s="12" t="inlineStr">
        <is>
          <t>Não recebe comissão.</t>
        </is>
      </c>
    </row>
    <row r="17">
      <c r="A17" s="6" t="inlineStr">
        <is>
          <t>ELIANA</t>
        </is>
      </c>
      <c r="B17" s="7" t="n">
        <v>1621</v>
      </c>
      <c r="C17" s="7" t="n">
        <v>0</v>
      </c>
      <c r="D17" s="7" t="n">
        <v>0</v>
      </c>
      <c r="E17" s="7" t="n">
        <v>1511.36</v>
      </c>
      <c r="F17" s="7" t="n">
        <v>290.65</v>
      </c>
      <c r="G17" s="7" t="n">
        <v>0</v>
      </c>
      <c r="H17" s="7" t="n">
        <v>0</v>
      </c>
      <c r="I17" s="7" t="n">
        <v>225</v>
      </c>
      <c r="J17" s="7" t="n">
        <v>600</v>
      </c>
      <c r="K17" s="7" t="n">
        <v>0</v>
      </c>
      <c r="L17" s="7" t="n">
        <v>0</v>
      </c>
      <c r="M17" s="7" t="n">
        <v>0</v>
      </c>
      <c r="N17" s="8">
        <f>SUM(B17:M17)</f>
        <v/>
      </c>
      <c r="O17" s="7" t="n">
        <v>-225</v>
      </c>
      <c r="P17" s="7" t="n">
        <v>-2192</v>
      </c>
      <c r="Q17" s="7" t="n">
        <v>-84.29000000000001</v>
      </c>
      <c r="R17" s="7" t="n">
        <v>-371.35</v>
      </c>
      <c r="S17" s="7" t="n">
        <v>0</v>
      </c>
      <c r="T17" s="8">
        <f>SUM(O17:S17)</f>
        <v/>
      </c>
      <c r="U17" s="9">
        <f>N17+T17</f>
        <v/>
      </c>
      <c r="V17" s="7" t="n">
        <v>1375.37</v>
      </c>
      <c r="W17" s="10">
        <f>ROUND(U17-V17,2)</f>
        <v/>
      </c>
      <c r="X17" s="11" t="n"/>
      <c r="Y17" s="12" t="inlineStr"/>
    </row>
    <row r="18">
      <c r="A18" s="6" t="inlineStr">
        <is>
          <t>GENECIR</t>
        </is>
      </c>
      <c r="B18" s="7" t="n">
        <v>0</v>
      </c>
      <c r="C18" s="7" t="n">
        <v>0</v>
      </c>
      <c r="D18" s="7" t="n">
        <v>0</v>
      </c>
      <c r="E18" s="7" t="n">
        <v>0.62</v>
      </c>
      <c r="F18" s="7" t="n">
        <v>0.12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3.24</v>
      </c>
      <c r="N18" s="8">
        <f>SUM(B18:M18)</f>
        <v/>
      </c>
      <c r="O18" s="7" t="n">
        <v>-0</v>
      </c>
      <c r="P18" s="7" t="n">
        <v>0</v>
      </c>
      <c r="Q18" s="7" t="n">
        <v>-3.24</v>
      </c>
      <c r="R18" s="7" t="n">
        <v>0</v>
      </c>
      <c r="S18" s="7" t="n">
        <v>0</v>
      </c>
      <c r="T18" s="8">
        <f>SUM(O18:S18)</f>
        <v/>
      </c>
      <c r="U18" s="9">
        <f>N18+T18</f>
        <v/>
      </c>
      <c r="V18" s="7" t="n">
        <v>0</v>
      </c>
      <c r="W18" s="10">
        <f>ROUND(U18-V18,2)</f>
        <v/>
      </c>
      <c r="X18" s="11" t="n"/>
      <c r="Y18" s="12" t="inlineStr">
        <is>
          <t>Férias de 01 a 30/08 em recibo próprio. A comissão residual de R$ 0,62 não entrou no holerite.</t>
        </is>
      </c>
    </row>
    <row r="19">
      <c r="A19" s="6" t="inlineStr">
        <is>
          <t>RENALDO</t>
        </is>
      </c>
      <c r="B19" s="7" t="n">
        <v>1621</v>
      </c>
      <c r="C19" s="7" t="n">
        <v>0</v>
      </c>
      <c r="D19" s="7" t="n">
        <v>0</v>
      </c>
      <c r="E19" s="7" t="n">
        <v>847.9400000000001</v>
      </c>
      <c r="F19" s="7" t="n">
        <v>163.07</v>
      </c>
      <c r="G19" s="7" t="n">
        <v>0</v>
      </c>
      <c r="H19" s="7" t="n">
        <v>0</v>
      </c>
      <c r="I19" s="7" t="n">
        <v>96</v>
      </c>
      <c r="J19" s="7" t="n">
        <v>250</v>
      </c>
      <c r="K19" s="7" t="n">
        <v>0</v>
      </c>
      <c r="L19" s="7" t="n">
        <v>0</v>
      </c>
      <c r="M19" s="7" t="n">
        <v>0</v>
      </c>
      <c r="N19" s="8">
        <f>SUM(B19:M19)</f>
        <v/>
      </c>
      <c r="O19" s="7" t="n">
        <v>-96</v>
      </c>
      <c r="P19" s="7" t="n">
        <v>-1955</v>
      </c>
      <c r="Q19" s="7" t="n">
        <v>-68.08</v>
      </c>
      <c r="R19" s="7" t="n">
        <v>-235.06</v>
      </c>
      <c r="S19" s="7" t="n">
        <v>0</v>
      </c>
      <c r="T19" s="8">
        <f>SUM(O19:S19)</f>
        <v/>
      </c>
      <c r="U19" s="9">
        <f>N19+T19</f>
        <v/>
      </c>
      <c r="V19" s="7" t="n">
        <v>623.87</v>
      </c>
      <c r="W19" s="10">
        <f>ROUND(U19-V19,2)</f>
        <v/>
      </c>
      <c r="X19" s="11" t="n"/>
      <c r="Y19" s="12" t="inlineStr">
        <is>
          <t>Férias de 01 a 30/09/2026 — entram na folha de setembro.</t>
        </is>
      </c>
    </row>
    <row r="20">
      <c r="A20" s="6" t="inlineStr">
        <is>
          <t>THAYANE</t>
        </is>
      </c>
      <c r="B20" s="7" t="n">
        <v>1621</v>
      </c>
      <c r="C20" s="7" t="n">
        <v>0</v>
      </c>
      <c r="D20" s="7" t="n">
        <v>0</v>
      </c>
      <c r="E20" s="7" t="n">
        <v>57.33</v>
      </c>
      <c r="F20" s="7" t="n">
        <v>11.03</v>
      </c>
      <c r="G20" s="7" t="n">
        <v>0</v>
      </c>
      <c r="H20" s="7" t="n">
        <v>0</v>
      </c>
      <c r="I20" s="7" t="n">
        <v>10</v>
      </c>
      <c r="J20" s="7" t="n">
        <v>100</v>
      </c>
      <c r="K20" s="7" t="n">
        <v>0</v>
      </c>
      <c r="L20" s="7" t="n">
        <v>0</v>
      </c>
      <c r="M20" s="7" t="n">
        <v>0</v>
      </c>
      <c r="N20" s="8">
        <f>SUM(B20:M20)</f>
        <v/>
      </c>
      <c r="O20" s="7" t="n">
        <v>-10</v>
      </c>
      <c r="P20" s="7" t="n">
        <v>-200</v>
      </c>
      <c r="Q20" s="7" t="n">
        <v>-84.29000000000001</v>
      </c>
      <c r="R20" s="7" t="n">
        <v>-136.72</v>
      </c>
      <c r="S20" s="7" t="n">
        <v>0</v>
      </c>
      <c r="T20" s="8">
        <f>SUM(O20:S20)</f>
        <v/>
      </c>
      <c r="U20" s="9">
        <f>N20+T20</f>
        <v/>
      </c>
      <c r="V20" s="7" t="n">
        <v>1368.35</v>
      </c>
      <c r="W20" s="10">
        <f>ROUND(U20-V20,2)</f>
        <v/>
      </c>
      <c r="X20" s="11" t="n"/>
      <c r="Y20" s="12" t="inlineStr"/>
    </row>
    <row r="21">
      <c r="A21" s="6" t="inlineStr">
        <is>
          <t>PEDRO</t>
        </is>
      </c>
      <c r="B21" s="7" t="n">
        <v>1621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8">
        <f>SUM(B21:M21)</f>
        <v/>
      </c>
      <c r="O21" s="7" t="n">
        <v>-0</v>
      </c>
      <c r="P21" s="7" t="n">
        <v>0</v>
      </c>
      <c r="Q21" s="7" t="n">
        <v>0</v>
      </c>
      <c r="R21" s="7" t="n">
        <v>0</v>
      </c>
      <c r="S21" s="7" t="n">
        <v>0</v>
      </c>
      <c r="T21" s="8">
        <f>SUM(O21:S21)</f>
        <v/>
      </c>
      <c r="U21" s="9">
        <f>N21+T21</f>
        <v/>
      </c>
      <c r="V21" s="7" t="n"/>
      <c r="W21" s="10">
        <f>ROUND(U21-V21,2)</f>
        <v/>
      </c>
      <c r="X21" s="11" t="n"/>
      <c r="Y21" s="12" t="inlineStr">
        <is>
          <t>Registrado na matriz, mas o holerite de agosto dele NÃO veio no arquivo da Betel — pedir o holerite (R$ 1.621,00).</t>
        </is>
      </c>
    </row>
    <row r="22">
      <c r="A22" s="13" t="inlineStr">
        <is>
          <t>TOTAL CENTRO</t>
        </is>
      </c>
      <c r="B22" s="10">
        <f>SUM(B16:B21)</f>
        <v/>
      </c>
      <c r="C22" s="10">
        <f>SUM(C16:C21)</f>
        <v/>
      </c>
      <c r="D22" s="10">
        <f>SUM(D16:D21)</f>
        <v/>
      </c>
      <c r="E22" s="10">
        <f>SUM(E16:E21)</f>
        <v/>
      </c>
      <c r="F22" s="10">
        <f>SUM(F16:F21)</f>
        <v/>
      </c>
      <c r="G22" s="10">
        <f>SUM(G16:G21)</f>
        <v/>
      </c>
      <c r="H22" s="10">
        <f>SUM(H16:H21)</f>
        <v/>
      </c>
      <c r="I22" s="10">
        <f>SUM(I16:I21)</f>
        <v/>
      </c>
      <c r="J22" s="10">
        <f>SUM(J16:J21)</f>
        <v/>
      </c>
      <c r="K22" s="10">
        <f>SUM(K16:K21)</f>
        <v/>
      </c>
      <c r="L22" s="10">
        <f>SUM(L16:L21)</f>
        <v/>
      </c>
      <c r="M22" s="10">
        <f>SUM(M16:M21)</f>
        <v/>
      </c>
      <c r="N22" s="10">
        <f>SUM(N16:N21)</f>
        <v/>
      </c>
      <c r="O22" s="10">
        <f>SUM(O16:O21)</f>
        <v/>
      </c>
      <c r="P22" s="10">
        <f>SUM(P16:P21)</f>
        <v/>
      </c>
      <c r="Q22" s="10">
        <f>SUM(Q16:Q21)</f>
        <v/>
      </c>
      <c r="R22" s="10">
        <f>SUM(R16:R21)</f>
        <v/>
      </c>
      <c r="S22" s="10">
        <f>SUM(S16:S21)</f>
        <v/>
      </c>
      <c r="T22" s="10">
        <f>SUM(T16:T21)</f>
        <v/>
      </c>
      <c r="U22" s="10">
        <f>SUM(U16:U21)</f>
        <v/>
      </c>
      <c r="V22" s="10">
        <f>SUM(V16:V21)</f>
        <v/>
      </c>
      <c r="W22" s="10">
        <f>SUM(W16:W21)</f>
        <v/>
      </c>
      <c r="X22" s="10">
        <f>SUM(X16:X21)</f>
        <v/>
      </c>
      <c r="Y22" s="14" t="n"/>
    </row>
    <row r="23" ht="19" customHeight="1">
      <c r="A23" s="4" t="inlineStr">
        <is>
          <t>LOJA TRANCOSO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6" t="inlineStr">
        <is>
          <t>UILLIAN</t>
        </is>
      </c>
      <c r="B24" s="7" t="n">
        <v>5648.41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25</v>
      </c>
      <c r="J24" s="7" t="n">
        <v>0</v>
      </c>
      <c r="K24" s="7" t="n">
        <v>0</v>
      </c>
      <c r="L24" s="7" t="n">
        <v>0</v>
      </c>
      <c r="M24" s="7" t="n">
        <v>0</v>
      </c>
      <c r="N24" s="8">
        <f>SUM(B24:M24)</f>
        <v/>
      </c>
      <c r="O24" s="7" t="n">
        <v>-25</v>
      </c>
      <c r="P24" s="7" t="n">
        <v>-810</v>
      </c>
      <c r="Q24" s="7" t="n">
        <v>0</v>
      </c>
      <c r="R24" s="7" t="n">
        <v>-592.27</v>
      </c>
      <c r="S24" s="7" t="n">
        <v>-251.04</v>
      </c>
      <c r="T24" s="8">
        <f>SUM(O24:S24)</f>
        <v/>
      </c>
      <c r="U24" s="9">
        <f>N24+T24</f>
        <v/>
      </c>
      <c r="V24" s="7" t="n">
        <v>3995.1</v>
      </c>
      <c r="W24" s="10">
        <f>ROUND(U24-V24,2)</f>
        <v/>
      </c>
      <c r="X24" s="11" t="n"/>
      <c r="Y24" s="12" t="inlineStr">
        <is>
          <t>Não recebe comissão.</t>
        </is>
      </c>
    </row>
    <row r="25">
      <c r="A25" s="6" t="inlineStr">
        <is>
          <t>MANOEL</t>
        </is>
      </c>
      <c r="B25" s="7" t="n">
        <v>1621</v>
      </c>
      <c r="C25" s="7" t="n">
        <v>0</v>
      </c>
      <c r="D25" s="7" t="n">
        <v>0</v>
      </c>
      <c r="E25" s="7" t="n">
        <v>1650.76</v>
      </c>
      <c r="F25" s="7" t="n">
        <v>317.45</v>
      </c>
      <c r="G25" s="7" t="n">
        <v>0</v>
      </c>
      <c r="H25" s="7" t="n">
        <v>0</v>
      </c>
      <c r="I25" s="7" t="n">
        <v>49</v>
      </c>
      <c r="J25" s="7" t="n">
        <v>200</v>
      </c>
      <c r="K25" s="7" t="n">
        <v>0</v>
      </c>
      <c r="L25" s="7" t="n">
        <v>0</v>
      </c>
      <c r="M25" s="7" t="n">
        <v>0</v>
      </c>
      <c r="N25" s="8">
        <f>SUM(B25:M25)</f>
        <v/>
      </c>
      <c r="O25" s="7" t="n">
        <v>-49</v>
      </c>
      <c r="P25" s="7" t="n">
        <v>-465</v>
      </c>
      <c r="Q25" s="7" t="n">
        <v>0</v>
      </c>
      <c r="R25" s="7" t="n">
        <v>-343.29</v>
      </c>
      <c r="S25" s="7" t="n">
        <v>0</v>
      </c>
      <c r="T25" s="8">
        <f>SUM(O25:S25)</f>
        <v/>
      </c>
      <c r="U25" s="9">
        <f>N25+T25</f>
        <v/>
      </c>
      <c r="V25" s="7" t="n">
        <v>2980.92</v>
      </c>
      <c r="W25" s="10">
        <f>ROUND(U25-V25,2)</f>
        <v/>
      </c>
      <c r="X25" s="11" t="n"/>
      <c r="Y25" s="12" t="inlineStr">
        <is>
          <t>Comissão apurada R$ 825,38 × 2.</t>
        </is>
      </c>
    </row>
    <row r="26">
      <c r="A26" s="6" t="inlineStr">
        <is>
          <t>VALDICK</t>
        </is>
      </c>
      <c r="B26" s="7" t="n">
        <v>1621</v>
      </c>
      <c r="C26" s="7" t="n">
        <v>0</v>
      </c>
      <c r="D26" s="7" t="n">
        <v>0</v>
      </c>
      <c r="E26" s="7" t="n">
        <v>1772.6</v>
      </c>
      <c r="F26" s="7" t="n">
        <v>340.88</v>
      </c>
      <c r="G26" s="7" t="n">
        <v>0</v>
      </c>
      <c r="H26" s="7" t="n">
        <v>0</v>
      </c>
      <c r="I26" s="7" t="n">
        <v>260</v>
      </c>
      <c r="J26" s="7" t="n">
        <v>100</v>
      </c>
      <c r="K26" s="7" t="n">
        <v>0</v>
      </c>
      <c r="L26" s="7" t="n">
        <v>0</v>
      </c>
      <c r="M26" s="7" t="n">
        <v>0</v>
      </c>
      <c r="N26" s="8">
        <f>SUM(B26:M26)</f>
        <v/>
      </c>
      <c r="O26" s="7" t="n">
        <v>-260</v>
      </c>
      <c r="P26" s="7" t="n">
        <v>-580</v>
      </c>
      <c r="Q26" s="7" t="n">
        <v>0</v>
      </c>
      <c r="R26" s="7" t="n">
        <v>-348.72</v>
      </c>
      <c r="S26" s="7" t="n">
        <v>0</v>
      </c>
      <c r="T26" s="8">
        <f>SUM(O26:S26)</f>
        <v/>
      </c>
      <c r="U26" s="9">
        <f>N26+T26</f>
        <v/>
      </c>
      <c r="V26" s="7" t="n">
        <v>2905.76</v>
      </c>
      <c r="W26" s="10">
        <f>ROUND(U26-V26,2)</f>
        <v/>
      </c>
      <c r="X26" s="11" t="n"/>
      <c r="Y26" s="12" t="inlineStr">
        <is>
          <t>Comissão apurada R$ 886,30 × 2. Férias de 01 a 30/09/2026.</t>
        </is>
      </c>
    </row>
    <row r="27">
      <c r="A27" s="6" t="inlineStr">
        <is>
          <t>INIURLE</t>
        </is>
      </c>
      <c r="B27" s="7" t="n">
        <v>1621</v>
      </c>
      <c r="C27" s="7" t="n">
        <v>530.51</v>
      </c>
      <c r="D27" s="7" t="n">
        <v>0</v>
      </c>
      <c r="E27" s="7" t="n">
        <v>470.84</v>
      </c>
      <c r="F27" s="7" t="n">
        <v>192.57</v>
      </c>
      <c r="G27" s="7" t="n">
        <v>0</v>
      </c>
      <c r="H27" s="7" t="n">
        <v>0</v>
      </c>
      <c r="I27" s="7" t="n">
        <v>0</v>
      </c>
      <c r="J27" s="7" t="n">
        <v>100</v>
      </c>
      <c r="K27" s="7" t="n">
        <v>85.02</v>
      </c>
      <c r="L27" s="7" t="n">
        <v>0</v>
      </c>
      <c r="M27" s="7" t="n">
        <v>0</v>
      </c>
      <c r="N27" s="8">
        <f>SUM(B27:M27)</f>
        <v/>
      </c>
      <c r="O27" s="7" t="n">
        <v>-0</v>
      </c>
      <c r="P27" s="7" t="n">
        <v>0</v>
      </c>
      <c r="Q27" s="7" t="n">
        <v>0</v>
      </c>
      <c r="R27" s="7" t="n">
        <v>-236.18</v>
      </c>
      <c r="S27" s="7" t="n">
        <v>0</v>
      </c>
      <c r="T27" s="8">
        <f>SUM(O27:S27)</f>
        <v/>
      </c>
      <c r="U27" s="9">
        <f>N27+T27</f>
        <v/>
      </c>
      <c r="V27" s="7" t="n">
        <v>2658.33</v>
      </c>
      <c r="W27" s="10">
        <f>ROUND(U27-V27,2)</f>
        <v/>
      </c>
      <c r="X27" s="11" t="n"/>
      <c r="Y27" s="12" t="inlineStr">
        <is>
          <t>Comissão apurada R$ 235,42 × 2. Horas extras corrigidas: 16 h a 50% (R$ 176,84) + 24 h a 100% (R$ 353,67). O holerite da Betel saiu com 40 h a 50% — pedir para refazer (sobem HE, DSR e INSS).</t>
        </is>
      </c>
    </row>
    <row r="28">
      <c r="A28" s="6" t="inlineStr">
        <is>
          <t>TAMILES</t>
        </is>
      </c>
      <c r="B28" s="7" t="n">
        <v>1621</v>
      </c>
      <c r="C28" s="7" t="n">
        <v>0</v>
      </c>
      <c r="D28" s="7" t="n">
        <v>0</v>
      </c>
      <c r="E28" s="7" t="n">
        <v>251.16</v>
      </c>
      <c r="F28" s="7" t="n">
        <v>48.3</v>
      </c>
      <c r="G28" s="7" t="n">
        <v>0</v>
      </c>
      <c r="H28" s="7" t="n">
        <v>0</v>
      </c>
      <c r="I28" s="7" t="n">
        <v>0</v>
      </c>
      <c r="J28" s="7" t="n">
        <v>100</v>
      </c>
      <c r="K28" s="7" t="n">
        <v>0</v>
      </c>
      <c r="L28" s="7" t="n">
        <v>0</v>
      </c>
      <c r="M28" s="7" t="n">
        <v>0</v>
      </c>
      <c r="N28" s="8">
        <f>SUM(B28:M28)</f>
        <v/>
      </c>
      <c r="O28" s="7" t="n">
        <v>-0</v>
      </c>
      <c r="P28" s="7" t="n">
        <v>0</v>
      </c>
      <c r="Q28" s="7" t="n">
        <v>0</v>
      </c>
      <c r="R28" s="7" t="n">
        <v>-157.52</v>
      </c>
      <c r="S28" s="7" t="n">
        <v>0</v>
      </c>
      <c r="T28" s="8">
        <f>SUM(O28:S28)</f>
        <v/>
      </c>
      <c r="U28" s="9">
        <f>N28+T28</f>
        <v/>
      </c>
      <c r="V28" s="7" t="n">
        <v>1862.94</v>
      </c>
      <c r="W28" s="10">
        <f>ROUND(U28-V28,2)</f>
        <v/>
      </c>
      <c r="X28" s="11" t="n"/>
      <c r="Y28" s="12" t="inlineStr">
        <is>
          <t>Comissão apurada R$ 125,58 × 2. Atestado de 02 a 08/09 é competência de setembro.</t>
        </is>
      </c>
    </row>
    <row r="29">
      <c r="A29" s="13" t="inlineStr">
        <is>
          <t>TOTAL TRANCOSO</t>
        </is>
      </c>
      <c r="B29" s="10">
        <f>SUM(B24:B28)</f>
        <v/>
      </c>
      <c r="C29" s="10">
        <f>SUM(C24:C28)</f>
        <v/>
      </c>
      <c r="D29" s="10">
        <f>SUM(D24:D28)</f>
        <v/>
      </c>
      <c r="E29" s="10">
        <f>SUM(E24:E28)</f>
        <v/>
      </c>
      <c r="F29" s="10">
        <f>SUM(F24:F28)</f>
        <v/>
      </c>
      <c r="G29" s="10">
        <f>SUM(G24:G28)</f>
        <v/>
      </c>
      <c r="H29" s="10">
        <f>SUM(H24:H28)</f>
        <v/>
      </c>
      <c r="I29" s="10">
        <f>SUM(I24:I28)</f>
        <v/>
      </c>
      <c r="J29" s="10">
        <f>SUM(J24:J28)</f>
        <v/>
      </c>
      <c r="K29" s="10">
        <f>SUM(K24:K28)</f>
        <v/>
      </c>
      <c r="L29" s="10">
        <f>SUM(L24:L28)</f>
        <v/>
      </c>
      <c r="M29" s="10">
        <f>SUM(M24:M28)</f>
        <v/>
      </c>
      <c r="N29" s="10">
        <f>SUM(N24:N28)</f>
        <v/>
      </c>
      <c r="O29" s="10">
        <f>SUM(O24:O28)</f>
        <v/>
      </c>
      <c r="P29" s="10">
        <f>SUM(P24:P28)</f>
        <v/>
      </c>
      <c r="Q29" s="10">
        <f>SUM(Q24:Q28)</f>
        <v/>
      </c>
      <c r="R29" s="10">
        <f>SUM(R24:R28)</f>
        <v/>
      </c>
      <c r="S29" s="10">
        <f>SUM(S24:S28)</f>
        <v/>
      </c>
      <c r="T29" s="10">
        <f>SUM(T24:T28)</f>
        <v/>
      </c>
      <c r="U29" s="10">
        <f>SUM(U24:U28)</f>
        <v/>
      </c>
      <c r="V29" s="10">
        <f>SUM(V24:V28)</f>
        <v/>
      </c>
      <c r="W29" s="10">
        <f>SUM(W24:W28)</f>
        <v/>
      </c>
      <c r="X29" s="10">
        <f>SUM(X24:X28)</f>
        <v/>
      </c>
      <c r="Y29" s="14" t="n"/>
    </row>
    <row r="31" ht="22" customHeight="1">
      <c r="A31" s="15" t="inlineStr">
        <is>
          <t>TOTAL GERAL — 3 LOJAS</t>
        </is>
      </c>
      <c r="B31" s="16">
        <f>B14+B22+B29</f>
        <v/>
      </c>
      <c r="C31" s="16">
        <f>C14+C22+C29</f>
        <v/>
      </c>
      <c r="D31" s="16">
        <f>D14+D22+D29</f>
        <v/>
      </c>
      <c r="E31" s="16">
        <f>E14+E22+E29</f>
        <v/>
      </c>
      <c r="F31" s="16">
        <f>F14+F22+F29</f>
        <v/>
      </c>
      <c r="G31" s="16">
        <f>G14+G22+G29</f>
        <v/>
      </c>
      <c r="H31" s="16">
        <f>H14+H22+H29</f>
        <v/>
      </c>
      <c r="I31" s="16">
        <f>I14+I22+I29</f>
        <v/>
      </c>
      <c r="J31" s="16">
        <f>J14+J22+J29</f>
        <v/>
      </c>
      <c r="K31" s="16">
        <f>K14+K22+K29</f>
        <v/>
      </c>
      <c r="L31" s="16">
        <f>L14+L22+L29</f>
        <v/>
      </c>
      <c r="M31" s="16">
        <f>M14+M22+M29</f>
        <v/>
      </c>
      <c r="N31" s="16">
        <f>N14+N22+N29</f>
        <v/>
      </c>
      <c r="O31" s="16">
        <f>O14+O22+O29</f>
        <v/>
      </c>
      <c r="P31" s="16">
        <f>P14+P22+P29</f>
        <v/>
      </c>
      <c r="Q31" s="16">
        <f>Q14+Q22+Q29</f>
        <v/>
      </c>
      <c r="R31" s="16">
        <f>R14+R22+R29</f>
        <v/>
      </c>
      <c r="S31" s="16">
        <f>S14+S22+S29</f>
        <v/>
      </c>
      <c r="T31" s="16">
        <f>T14+T22+T29</f>
        <v/>
      </c>
      <c r="U31" s="16">
        <f>U14+U22+U29</f>
        <v/>
      </c>
      <c r="V31" s="16">
        <f>V14+V22+V29</f>
        <v/>
      </c>
      <c r="W31" s="16">
        <f>W14+W22+W29</f>
        <v/>
      </c>
      <c r="X31" s="16">
        <f>X14+X22+X29</f>
        <v/>
      </c>
      <c r="Y31" s="17" t="n"/>
    </row>
    <row r="33">
      <c r="A33" s="18" t="inlineStr">
        <is>
          <t>PONTOS EM ABERTO:</t>
        </is>
      </c>
    </row>
    <row r="34">
      <c r="A34" s="19" t="inlineStr">
        <is>
          <t>• JOEL (Arraial): a comissão de R$ 103,31 e o DSR não entraram no holerite — só saiu o salário família. Verificar folha complementar ou recibo de férias.</t>
        </is>
      </c>
    </row>
    <row r="35">
      <c r="A35" s="19" t="inlineStr">
        <is>
          <t>• GENECIR (Centro): comissão residual de R$ 0,62 fora do holerite.</t>
        </is>
      </c>
    </row>
    <row r="36">
      <c r="A36" s="19" t="inlineStr">
        <is>
          <t>• PEDRO (Centro): registrado na matriz, mas o holerite de agosto dele não veio no arquivo da Betel — pedir o holerite (R$ 1.621,00).</t>
        </is>
      </c>
    </row>
    <row r="37">
      <c r="A37" s="19" t="inlineStr">
        <is>
          <t>• INIURLE (Trancoso): horas extras corrigidas para 16 h a 50% + 24 h a 100% (R$ 530,51, eram R$ 442,09). A diferença de R$ 105,43 é antes do novo INSS — a Betel precisa refazer o holerite.</t>
        </is>
      </c>
    </row>
    <row r="38">
      <c r="A38" s="19" t="inlineStr">
        <is>
          <t>• DSR EM DUPLICIDADE: a rubrica 420 (Repouso Remunerado) já foi calculada sobre comissão + horas extras, e a Betel ainda lançou a rubrica 057 (DSR/hora extra). São R$ 51,01 do EDEY, R$ 46,51 da NATI, R$ 10,38 de VALÉRIA, SARA e CAMILA e R$ 85,02 do INIURLE — R$ 213,68 no total. Confirmar com a contabilidade.</t>
        </is>
      </c>
    </row>
    <row r="39">
      <c r="A39" s="19" t="inlineStr">
        <is>
          <t>• Prêmio cota geral e prêmio pré-vencidos, conforme a apuração de metas de cada loja.</t>
        </is>
      </c>
    </row>
    <row r="40">
      <c r="A40" s="19" t="inlineStr">
        <is>
          <t>• A coluna FÉRIAS PAGAS À PARTE é só lembrete para o contas a pagar: recibo de férias pago fora do holerite, NÃO entra no líquido. Em agosto: JOEL (Arraial, férias de 01 a 31/08) e GENECIR (Centro, férias de 01 a 30/08).</t>
        </is>
      </c>
    </row>
    <row r="41">
      <c r="A41" s="19" t="inlineStr">
        <is>
          <t>• Diárias dos folguistas SERGIO (R$ 150,00) e ANA CELIA (R$ 100,00), na loja Centro — vão para o contas a pagar, fora do holerite.</t>
        </is>
      </c>
    </row>
    <row r="42">
      <c r="A42" s="19" t="inlineStr"/>
    </row>
    <row r="43">
      <c r="A43" s="18" t="inlineStr">
        <is>
          <t>CRITÉRIOS USADOS:</t>
        </is>
      </c>
    </row>
    <row r="44">
      <c r="A44" s="19" t="inlineStr">
        <is>
          <t>• DSR sobre comissão e horas extras: 5 domingos ÷ 26 dias úteis de agosto/2026 = fator 0,192307.</t>
        </is>
      </c>
    </row>
    <row r="45">
      <c r="A45" s="19" t="inlineStr">
        <is>
          <t>• Salário-hora = salário ÷ 220. Hora extra = salário-hora × 1,5 (R$ 11,0523). Adicional noturno = salário-hora × 20% (R$ 1,4736).</t>
        </is>
      </c>
    </row>
    <row r="46">
      <c r="A46" s="19" t="inlineStr">
        <is>
          <t>• Feriado de 15/08 trabalhado sem folga = 1 salário-dia a mais (R$ 54,03).</t>
        </is>
      </c>
    </row>
    <row r="47">
      <c r="A47" s="19" t="inlineStr">
        <is>
          <t>• TRANCOSO paga o dobro da comissão apurada no InovaFarma; os incentivos entram pelo valor simples.</t>
        </is>
      </c>
    </row>
    <row r="48">
      <c r="A48" s="19" t="inlineStr">
        <is>
          <t>• Os incentivos são adiantados em dinheiro durante o mês e NÃO aparecem no holerite da Betel; aqui entram como provento e como desconto, sem afetar o líquido.</t>
        </is>
      </c>
    </row>
    <row r="49">
      <c r="A49" s="19" t="inlineStr">
        <is>
          <t>• Prêmios, vales, vale-transporte, INSS e IRRF foram lidos do holerite de agosto/2026 emitido pela Betel Contabilidade.</t>
        </is>
      </c>
    </row>
    <row r="50">
      <c r="A50" s="19" t="inlineStr">
        <is>
          <t>• Comissões e incentivos vêm do relatório do InovaFarma de 01/08 a 31/08/2026, extraído em 03/09/2026.</t>
        </is>
      </c>
    </row>
  </sheetData>
  <autoFilter ref="A4:Y29"/>
  <mergeCells count="20">
    <mergeCell ref="A2:Y2"/>
    <mergeCell ref="A33:Y33"/>
    <mergeCell ref="A47:Y47"/>
    <mergeCell ref="A42:Y42"/>
    <mergeCell ref="A35:Y35"/>
    <mergeCell ref="A43:Y43"/>
    <mergeCell ref="A38:Y38"/>
    <mergeCell ref="A44:Y44"/>
    <mergeCell ref="A40:Y40"/>
    <mergeCell ref="A34:Y34"/>
    <mergeCell ref="A48:Y48"/>
    <mergeCell ref="A39:Y39"/>
    <mergeCell ref="A49:Y49"/>
    <mergeCell ref="A36:Y36"/>
    <mergeCell ref="A1:Y1"/>
    <mergeCell ref="A45:Y45"/>
    <mergeCell ref="A41:Y41"/>
    <mergeCell ref="A46:Y46"/>
    <mergeCell ref="A37:Y37"/>
    <mergeCell ref="A50:Y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2026-10-02T21:37:56Z</dcterms:created>
  <dcterms:modified xsi:type="dcterms:W3CDTF">2026-10-02T21:37:56Z</dcterms:modified>
</cp:coreProperties>
</file>