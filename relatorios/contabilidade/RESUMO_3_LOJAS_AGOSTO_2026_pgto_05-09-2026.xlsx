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3 LOJAS AGO.26" sheetId="1" state="visible" r:id="rId1"/>
  </sheets>
  <definedNames>
    <definedName name="_xlnm._FilterDatabase" localSheetId="0" hidden="1">'RESUMO 3 LOJAS AGO.26'!$A$4:$O$29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00"/>
      <sz val="10"/>
    </font>
    <font>
      <name val="Arial"/>
      <i val="1"/>
      <color rgb="00000000"/>
      <sz val="9"/>
    </font>
    <font>
      <name val="Arial"/>
      <b val="1"/>
      <color rgb="00000000"/>
      <sz val="11"/>
    </font>
    <font>
      <name val="Arial"/>
      <b val="1"/>
      <color rgb="00C00000"/>
      <sz val="9"/>
    </font>
    <font>
      <name val="Arial"/>
      <color rgb="00000000"/>
      <sz val="9"/>
    </font>
    <font>
      <name val="Arial"/>
      <b val="1"/>
      <color rgb="000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wrapText="1"/>
    </xf>
    <xf numFmtId="0" fontId="4" fillId="4" borderId="0" pivotButton="0" quotePrefix="0" xfId="0"/>
    <xf numFmtId="0" fontId="0" fillId="4" borderId="0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4" fontId="5" fillId="6" borderId="1" pivotButton="0" quotePrefix="0" xfId="0"/>
    <xf numFmtId="0" fontId="7" fillId="0" borderId="1" applyAlignment="1" pivotButton="0" quotePrefix="0" xfId="0">
      <alignment vertical="center" wrapText="1"/>
    </xf>
    <xf numFmtId="0" fontId="5" fillId="5" borderId="1" pivotButton="0" quotePrefix="0" xfId="0"/>
    <xf numFmtId="164" fontId="5" fillId="5" borderId="1" pivotButton="0" quotePrefix="0" xfId="0"/>
    <xf numFmtId="0" fontId="0" fillId="5" borderId="1" pivotButton="0" quotePrefix="0" xfId="0"/>
    <xf numFmtId="0" fontId="8" fillId="6" borderId="1" pivotButton="0" quotePrefix="0" xfId="0"/>
    <xf numFmtId="164" fontId="8" fillId="6" borderId="1" pivotButton="0" quotePrefix="0" xfId="0"/>
    <xf numFmtId="0" fontId="0" fillId="6" borderId="1" pivotButton="0" quotePrefix="0" xfId="0"/>
    <xf numFmtId="0" fontId="9" fillId="7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2" customWidth="1" min="8" max="8"/>
    <col width="12" customWidth="1" min="9" max="9"/>
    <col width="14" customWidth="1" min="10" max="10"/>
    <col width="13" customWidth="1" min="11" max="11"/>
    <col width="13" customWidth="1" min="12" max="12"/>
    <col width="14" customWidth="1" min="13" max="13"/>
    <col width="14" customWidth="1" min="14" max="14"/>
    <col width="70" customWidth="1" min="15" max="15"/>
  </cols>
  <sheetData>
    <row r="1" ht="26" customHeight="1">
      <c r="A1" s="1" t="inlineStr">
        <is>
          <t>RESUMO PARA A CONTABILIDADE — TRÊS LOJAS</t>
        </is>
      </c>
    </row>
    <row r="2">
      <c r="A2" s="2" t="inlineStr">
        <is>
          <t>Farmácia Tropical Multi Econômica · competência AGOSTO/2026 (01/08 a 31/08) · pagamento em 05/09/2026</t>
        </is>
      </c>
    </row>
    <row r="4" ht="30" customHeight="1">
      <c r="A4" s="3" t="inlineStr">
        <is>
          <t>FUNCIONÁRIO</t>
        </is>
      </c>
      <c r="B4" s="3" t="inlineStr">
        <is>
          <t>SALÁRIO</t>
        </is>
      </c>
      <c r="C4" s="3" t="inlineStr">
        <is>
          <t>HORAS EXTRAS</t>
        </is>
      </c>
      <c r="D4" s="3" t="inlineStr">
        <is>
          <t>AD. NOTURNO</t>
        </is>
      </c>
      <c r="E4" s="3" t="inlineStr">
        <is>
          <t>COMISSÃO</t>
        </is>
      </c>
      <c r="F4" s="3" t="inlineStr">
        <is>
          <t>DSR</t>
        </is>
      </c>
      <c r="G4" s="3" t="inlineStr">
        <is>
          <t>AUX. GERÊNCIA</t>
        </is>
      </c>
      <c r="H4" s="3" t="inlineStr">
        <is>
          <t>PRÊMIO META CX</t>
        </is>
      </c>
      <c r="I4" s="3" t="inlineStr">
        <is>
          <t>INCENTIVOS</t>
        </is>
      </c>
      <c r="J4" s="3" t="inlineStr">
        <is>
          <t>TOTAL PROVENTOS</t>
        </is>
      </c>
      <c r="K4" s="3" t="inlineStr">
        <is>
          <t>ADIANT. INCENT.</t>
        </is>
      </c>
      <c r="L4" s="3" t="inlineStr">
        <is>
          <t>VALE TRANSP. 6%</t>
        </is>
      </c>
      <c r="M4" s="3" t="inlineStr">
        <is>
          <t>TOTAL DESCONTOS</t>
        </is>
      </c>
      <c r="N4" s="3" t="inlineStr">
        <is>
          <t>LÍQUIDO PARCIAL</t>
        </is>
      </c>
      <c r="O4" s="3" t="inlineStr">
        <is>
          <t>OBSERVAÇÃO</t>
        </is>
      </c>
    </row>
    <row r="5" ht="19" customHeight="1">
      <c r="A5" s="4" t="inlineStr">
        <is>
          <t>LOJA ARRAIAL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>
      <c r="A6" s="6" t="inlineStr">
        <is>
          <t>DEAN</t>
        </is>
      </c>
      <c r="B6" s="7" t="n">
        <v>5648.41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199</v>
      </c>
      <c r="J6" s="8" t="n">
        <v>5847.41</v>
      </c>
      <c r="K6" s="7" t="n">
        <v>-199</v>
      </c>
      <c r="L6" s="7" t="n">
        <v>0</v>
      </c>
      <c r="M6" s="8" t="n">
        <v>-199</v>
      </c>
      <c r="N6" s="9" t="n">
        <v>5648.41</v>
      </c>
      <c r="O6" s="10" t="inlineStr">
        <is>
          <t>Não recebe comissão. Dia 15/08 trabalhado com folga compensatória.</t>
        </is>
      </c>
    </row>
    <row r="7">
      <c r="A7" s="6" t="inlineStr">
        <is>
          <t>AGNOR</t>
        </is>
      </c>
      <c r="B7" s="7" t="n">
        <v>1621</v>
      </c>
      <c r="C7" s="7" t="n">
        <v>0</v>
      </c>
      <c r="D7" s="7" t="n">
        <v>35.37</v>
      </c>
      <c r="E7" s="7" t="n">
        <v>2000</v>
      </c>
      <c r="F7" s="7" t="n">
        <v>384.62</v>
      </c>
      <c r="G7" s="7" t="n">
        <v>810.5</v>
      </c>
      <c r="H7" s="7" t="n">
        <v>0</v>
      </c>
      <c r="I7" s="7" t="n">
        <v>189</v>
      </c>
      <c r="J7" s="8" t="n">
        <v>5040.49</v>
      </c>
      <c r="K7" s="7" t="n">
        <v>-189</v>
      </c>
      <c r="L7" s="7" t="n">
        <v>0</v>
      </c>
      <c r="M7" s="8" t="n">
        <v>-189</v>
      </c>
      <c r="N7" s="9" t="n">
        <v>4851.49</v>
      </c>
      <c r="O7" s="10" t="inlineStr">
        <is>
          <t>Comissão fixa de R$ 2.000,00 (apurado R$ 909,51 + complemento R$ 1.090,49). 3 madrugadas = 24 h noturnas.</t>
        </is>
      </c>
    </row>
    <row r="8">
      <c r="A8" s="6" t="inlineStr">
        <is>
          <t>EDEY</t>
        </is>
      </c>
      <c r="B8" s="7" t="n">
        <v>1621</v>
      </c>
      <c r="C8" s="7" t="n">
        <v>265.26</v>
      </c>
      <c r="D8" s="7" t="n">
        <v>350</v>
      </c>
      <c r="E8" s="7" t="n">
        <v>873.76</v>
      </c>
      <c r="F8" s="7" t="n">
        <v>219.04</v>
      </c>
      <c r="G8" s="7" t="n">
        <v>0</v>
      </c>
      <c r="H8" s="7" t="n">
        <v>0</v>
      </c>
      <c r="I8" s="7" t="n">
        <v>73</v>
      </c>
      <c r="J8" s="8" t="n">
        <v>3402.06</v>
      </c>
      <c r="K8" s="7" t="n">
        <v>-73</v>
      </c>
      <c r="L8" s="7" t="n">
        <v>-84.29000000000001</v>
      </c>
      <c r="M8" s="8" t="n">
        <v>-157.29</v>
      </c>
      <c r="N8" s="9" t="n">
        <v>3244.77</v>
      </c>
      <c r="O8" s="10" t="inlineStr">
        <is>
          <t>24 horas extras. Adicional noturno fixo de R$ 350,00 — conferir com o ponto.</t>
        </is>
      </c>
    </row>
    <row r="9">
      <c r="A9" s="6" t="inlineStr">
        <is>
          <t>JOEL</t>
        </is>
      </c>
      <c r="B9" s="7" t="n">
        <v>0</v>
      </c>
      <c r="C9" s="7" t="n">
        <v>0</v>
      </c>
      <c r="D9" s="7" t="n">
        <v>0</v>
      </c>
      <c r="E9" s="7" t="n">
        <v>103.31</v>
      </c>
      <c r="F9" s="7" t="n">
        <v>19.87</v>
      </c>
      <c r="G9" s="7" t="n">
        <v>0</v>
      </c>
      <c r="H9" s="7" t="n">
        <v>0</v>
      </c>
      <c r="I9" s="7" t="n">
        <v>22</v>
      </c>
      <c r="J9" s="8" t="n">
        <v>145.18</v>
      </c>
      <c r="K9" s="7" t="n">
        <v>-22</v>
      </c>
      <c r="L9" s="7" t="n">
        <v>0</v>
      </c>
      <c r="M9" s="8" t="n">
        <v>-22</v>
      </c>
      <c r="N9" s="9" t="n">
        <v>123.18</v>
      </c>
      <c r="O9" s="10" t="inlineStr">
        <is>
          <t>Férias de 01 a 31/08 pagas em recibo próprio (saiu em 04/08, volta em 04/09). Comissão dos dias 01 e 02/08.</t>
        </is>
      </c>
    </row>
    <row r="10">
      <c r="A10" s="6" t="inlineStr">
        <is>
          <t>VALÉRIA</t>
        </is>
      </c>
      <c r="B10" s="7" t="n">
        <v>1621</v>
      </c>
      <c r="C10" s="7" t="n">
        <v>54.03</v>
      </c>
      <c r="D10" s="7" t="n">
        <v>23.58</v>
      </c>
      <c r="E10" s="7" t="n">
        <v>1141.03</v>
      </c>
      <c r="F10" s="7" t="n">
        <v>229.82</v>
      </c>
      <c r="G10" s="7" t="n">
        <v>0</v>
      </c>
      <c r="H10" s="7" t="n">
        <v>307.99</v>
      </c>
      <c r="I10" s="7" t="n">
        <v>192</v>
      </c>
      <c r="J10" s="8" t="n">
        <v>3569.45</v>
      </c>
      <c r="K10" s="7" t="n">
        <v>-192</v>
      </c>
      <c r="L10" s="7" t="n">
        <v>-84.29000000000001</v>
      </c>
      <c r="M10" s="8" t="n">
        <v>-276.29</v>
      </c>
      <c r="N10" s="9" t="n">
        <v>3293.16</v>
      </c>
      <c r="O10" s="10" t="inlineStr">
        <is>
          <t>Feriado 15/08 trabalhado. 2 madrugadas = 16 h noturnas, com folga no dia seguinte.</t>
        </is>
      </c>
    </row>
    <row r="11">
      <c r="A11" s="6" t="inlineStr">
        <is>
          <t>SARA</t>
        </is>
      </c>
      <c r="B11" s="7" t="n">
        <v>1621</v>
      </c>
      <c r="C11" s="7" t="n">
        <v>54.03</v>
      </c>
      <c r="D11" s="7" t="n">
        <v>0</v>
      </c>
      <c r="E11" s="7" t="n">
        <v>371.43</v>
      </c>
      <c r="F11" s="7" t="n">
        <v>81.81999999999999</v>
      </c>
      <c r="G11" s="7" t="n">
        <v>810.5</v>
      </c>
      <c r="H11" s="7" t="n">
        <v>0</v>
      </c>
      <c r="I11" s="7" t="n">
        <v>10</v>
      </c>
      <c r="J11" s="8" t="n">
        <v>2948.78</v>
      </c>
      <c r="K11" s="7" t="n">
        <v>-10</v>
      </c>
      <c r="L11" s="7" t="n">
        <v>0</v>
      </c>
      <c r="M11" s="8" t="n">
        <v>-10</v>
      </c>
      <c r="N11" s="9" t="n">
        <v>2938.78</v>
      </c>
      <c r="O11" s="10" t="inlineStr">
        <is>
          <t>Comissão do Arraial (R$ 368,78) + loja Centro (R$ 2,65). Feriado 15/08 trabalhado.</t>
        </is>
      </c>
    </row>
    <row r="12">
      <c r="A12" s="6" t="inlineStr">
        <is>
          <t>CAMILA</t>
        </is>
      </c>
      <c r="B12" s="7" t="n">
        <v>1621</v>
      </c>
      <c r="C12" s="7" t="n">
        <v>54.03</v>
      </c>
      <c r="D12" s="7" t="n">
        <v>0</v>
      </c>
      <c r="E12" s="7" t="n">
        <v>241.5</v>
      </c>
      <c r="F12" s="7" t="n">
        <v>56.83</v>
      </c>
      <c r="G12" s="7" t="n">
        <v>0</v>
      </c>
      <c r="H12" s="7" t="n">
        <v>0</v>
      </c>
      <c r="I12" s="7" t="n">
        <v>0</v>
      </c>
      <c r="J12" s="8" t="n">
        <v>1973.36</v>
      </c>
      <c r="K12" s="7" t="n">
        <v>-0</v>
      </c>
      <c r="L12" s="7" t="n">
        <v>0</v>
      </c>
      <c r="M12" s="8" t="n">
        <v>0</v>
      </c>
      <c r="N12" s="9" t="n">
        <v>1973.36</v>
      </c>
      <c r="O12" s="10" t="inlineStr">
        <is>
          <t>1º mês completo após a admissão. Feriado 15/08 trabalhado.</t>
        </is>
      </c>
    </row>
    <row r="13">
      <c r="A13" s="6" t="inlineStr">
        <is>
          <t>NATI</t>
        </is>
      </c>
      <c r="B13" s="7" t="n">
        <v>1621</v>
      </c>
      <c r="C13" s="7" t="n">
        <v>241.92</v>
      </c>
      <c r="D13" s="7" t="n">
        <v>25.05</v>
      </c>
      <c r="E13" s="7" t="n">
        <v>243.14</v>
      </c>
      <c r="F13" s="7" t="n">
        <v>93.28</v>
      </c>
      <c r="G13" s="7" t="n">
        <v>0</v>
      </c>
      <c r="H13" s="7" t="n">
        <v>307.99</v>
      </c>
      <c r="I13" s="7" t="n">
        <v>0</v>
      </c>
      <c r="J13" s="8" t="n">
        <v>2532.38</v>
      </c>
      <c r="K13" s="7" t="n">
        <v>-0</v>
      </c>
      <c r="L13" s="7" t="n">
        <v>-84.29000000000001</v>
      </c>
      <c r="M13" s="8" t="n">
        <v>-84.29000000000001</v>
      </c>
      <c r="N13" s="9" t="n">
        <v>2448.09</v>
      </c>
      <c r="O13" s="10" t="inlineStr">
        <is>
          <t>17 horas extras noturnas (hora extra + adicional). Feriado 15/08 trabalhado.</t>
        </is>
      </c>
    </row>
    <row r="14">
      <c r="A14" s="11" t="inlineStr">
        <is>
          <t>TOTAL ARRAIAL</t>
        </is>
      </c>
      <c r="B14" s="12">
        <f>SUM(B6:B13)</f>
        <v/>
      </c>
      <c r="C14" s="12">
        <f>SUM(C6:C13)</f>
        <v/>
      </c>
      <c r="D14" s="12">
        <f>SUM(D6:D13)</f>
        <v/>
      </c>
      <c r="E14" s="12">
        <f>SUM(E6:E13)</f>
        <v/>
      </c>
      <c r="F14" s="12">
        <f>SUM(F6:F13)</f>
        <v/>
      </c>
      <c r="G14" s="12">
        <f>SUM(G6:G13)</f>
        <v/>
      </c>
      <c r="H14" s="12">
        <f>SUM(H6:H13)</f>
        <v/>
      </c>
      <c r="I14" s="12">
        <f>SUM(I6:I13)</f>
        <v/>
      </c>
      <c r="J14" s="12">
        <f>SUM(J6:J13)</f>
        <v/>
      </c>
      <c r="K14" s="12">
        <f>SUM(K6:K13)</f>
        <v/>
      </c>
      <c r="L14" s="12">
        <f>SUM(L6:L13)</f>
        <v/>
      </c>
      <c r="M14" s="12">
        <f>SUM(M6:M13)</f>
        <v/>
      </c>
      <c r="N14" s="12">
        <f>SUM(N6:N13)</f>
        <v/>
      </c>
      <c r="O14" s="13" t="n"/>
    </row>
    <row r="15" ht="19" customHeight="1">
      <c r="A15" s="4" t="inlineStr">
        <is>
          <t>LOJA CENTRO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6" t="inlineStr">
        <is>
          <t>ARIANE</t>
        </is>
      </c>
      <c r="B16" s="7" t="n">
        <v>5648.41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125</v>
      </c>
      <c r="J16" s="8" t="n">
        <v>5773.41</v>
      </c>
      <c r="K16" s="7" t="n">
        <v>-125</v>
      </c>
      <c r="L16" s="7" t="n">
        <v>0</v>
      </c>
      <c r="M16" s="8" t="n">
        <v>-125</v>
      </c>
      <c r="N16" s="9" t="n">
        <v>5648.41</v>
      </c>
      <c r="O16" s="10" t="inlineStr">
        <is>
          <t>Não recebe comissão.</t>
        </is>
      </c>
    </row>
    <row r="17">
      <c r="A17" s="6" t="inlineStr">
        <is>
          <t>ELIANA</t>
        </is>
      </c>
      <c r="B17" s="7" t="n">
        <v>1621</v>
      </c>
      <c r="C17" s="7" t="n">
        <v>0</v>
      </c>
      <c r="D17" s="7" t="n">
        <v>0</v>
      </c>
      <c r="E17" s="7" t="n">
        <v>1511.36</v>
      </c>
      <c r="F17" s="7" t="n">
        <v>290.65</v>
      </c>
      <c r="G17" s="7" t="n">
        <v>0</v>
      </c>
      <c r="H17" s="7" t="n">
        <v>0</v>
      </c>
      <c r="I17" s="7" t="n">
        <v>225</v>
      </c>
      <c r="J17" s="8" t="n">
        <v>3648.01</v>
      </c>
      <c r="K17" s="7" t="n">
        <v>-225</v>
      </c>
      <c r="L17" s="7" t="n">
        <v>-84.29000000000001</v>
      </c>
      <c r="M17" s="8" t="n">
        <v>-309.29</v>
      </c>
      <c r="N17" s="9" t="n">
        <v>3338.72</v>
      </c>
      <c r="O17" s="10" t="inlineStr"/>
    </row>
    <row r="18">
      <c r="A18" s="6" t="inlineStr">
        <is>
          <t>GENECIR</t>
        </is>
      </c>
      <c r="B18" s="7" t="n">
        <v>0</v>
      </c>
      <c r="C18" s="7" t="n">
        <v>0</v>
      </c>
      <c r="D18" s="7" t="n">
        <v>0</v>
      </c>
      <c r="E18" s="7" t="n">
        <v>0.62</v>
      </c>
      <c r="F18" s="7" t="n">
        <v>0.12</v>
      </c>
      <c r="G18" s="7" t="n">
        <v>0</v>
      </c>
      <c r="H18" s="7" t="n">
        <v>0</v>
      </c>
      <c r="I18" s="7" t="n">
        <v>0</v>
      </c>
      <c r="J18" s="8" t="n">
        <v>0.74</v>
      </c>
      <c r="K18" s="7" t="n">
        <v>-0</v>
      </c>
      <c r="L18" s="7" t="n">
        <v>0</v>
      </c>
      <c r="M18" s="8" t="n">
        <v>0</v>
      </c>
      <c r="N18" s="9" t="n">
        <v>0.74</v>
      </c>
      <c r="O18" s="10" t="inlineStr">
        <is>
          <t>Férias de 01 a 30/08 pagas em recibo próprio — conferir o dia 31/08.</t>
        </is>
      </c>
    </row>
    <row r="19">
      <c r="A19" s="6" t="inlineStr">
        <is>
          <t>RENALDO</t>
        </is>
      </c>
      <c r="B19" s="7" t="n">
        <v>1621</v>
      </c>
      <c r="C19" s="7" t="n">
        <v>0</v>
      </c>
      <c r="D19" s="7" t="n">
        <v>0</v>
      </c>
      <c r="E19" s="7" t="n">
        <v>847.9400000000001</v>
      </c>
      <c r="F19" s="7" t="n">
        <v>163.07</v>
      </c>
      <c r="G19" s="7" t="n">
        <v>0</v>
      </c>
      <c r="H19" s="7" t="n">
        <v>0</v>
      </c>
      <c r="I19" s="7" t="n">
        <v>96</v>
      </c>
      <c r="J19" s="8" t="n">
        <v>2728.01</v>
      </c>
      <c r="K19" s="7" t="n">
        <v>-96</v>
      </c>
      <c r="L19" s="7" t="n">
        <v>-74.29000000000001</v>
      </c>
      <c r="M19" s="8" t="n">
        <v>-170.29</v>
      </c>
      <c r="N19" s="9" t="n">
        <v>2557.72</v>
      </c>
      <c r="O19" s="10" t="inlineStr"/>
    </row>
    <row r="20">
      <c r="A20" s="6" t="inlineStr">
        <is>
          <t>THAYANE</t>
        </is>
      </c>
      <c r="B20" s="7" t="n">
        <v>1621</v>
      </c>
      <c r="C20" s="7" t="n">
        <v>0</v>
      </c>
      <c r="D20" s="7" t="n">
        <v>0</v>
      </c>
      <c r="E20" s="7" t="n">
        <v>57.33</v>
      </c>
      <c r="F20" s="7" t="n">
        <v>11.03</v>
      </c>
      <c r="G20" s="7" t="n">
        <v>0</v>
      </c>
      <c r="H20" s="7" t="n">
        <v>0</v>
      </c>
      <c r="I20" s="7" t="n">
        <v>10</v>
      </c>
      <c r="J20" s="8" t="n">
        <v>1699.36</v>
      </c>
      <c r="K20" s="7" t="n">
        <v>-10</v>
      </c>
      <c r="L20" s="7" t="n">
        <v>-84.29000000000001</v>
      </c>
      <c r="M20" s="8" t="n">
        <v>-94.29000000000001</v>
      </c>
      <c r="N20" s="9" t="n">
        <v>1605.07</v>
      </c>
      <c r="O20" s="10" t="inlineStr"/>
    </row>
    <row r="21">
      <c r="A21" s="6" t="inlineStr">
        <is>
          <t>PEDRO</t>
        </is>
      </c>
      <c r="B21" s="7" t="n">
        <v>1621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8" t="n">
        <v>1621</v>
      </c>
      <c r="K21" s="7" t="n">
        <v>-0</v>
      </c>
      <c r="L21" s="7" t="n">
        <v>0</v>
      </c>
      <c r="M21" s="8" t="n">
        <v>0</v>
      </c>
      <c r="N21" s="9" t="n">
        <v>1621</v>
      </c>
      <c r="O21" s="10" t="inlineStr">
        <is>
          <t>Não recebe comissão (apurado R$ 12,18 fica só como informação).</t>
        </is>
      </c>
    </row>
    <row r="22">
      <c r="A22" s="11" t="inlineStr">
        <is>
          <t>TOTAL CENTRO</t>
        </is>
      </c>
      <c r="B22" s="12">
        <f>SUM(B16:B21)</f>
        <v/>
      </c>
      <c r="C22" s="12">
        <f>SUM(C16:C21)</f>
        <v/>
      </c>
      <c r="D22" s="12">
        <f>SUM(D16:D21)</f>
        <v/>
      </c>
      <c r="E22" s="12">
        <f>SUM(E16:E21)</f>
        <v/>
      </c>
      <c r="F22" s="12">
        <f>SUM(F16:F21)</f>
        <v/>
      </c>
      <c r="G22" s="12">
        <f>SUM(G16:G21)</f>
        <v/>
      </c>
      <c r="H22" s="12">
        <f>SUM(H16:H21)</f>
        <v/>
      </c>
      <c r="I22" s="12">
        <f>SUM(I16:I21)</f>
        <v/>
      </c>
      <c r="J22" s="12">
        <f>SUM(J16:J21)</f>
        <v/>
      </c>
      <c r="K22" s="12">
        <f>SUM(K16:K21)</f>
        <v/>
      </c>
      <c r="L22" s="12">
        <f>SUM(L16:L21)</f>
        <v/>
      </c>
      <c r="M22" s="12">
        <f>SUM(M16:M21)</f>
        <v/>
      </c>
      <c r="N22" s="12">
        <f>SUM(N16:N21)</f>
        <v/>
      </c>
      <c r="O22" s="13" t="n"/>
    </row>
    <row r="23" ht="19" customHeight="1">
      <c r="A23" s="4" t="inlineStr">
        <is>
          <t>LOJA TRANCOSO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A24" s="6" t="inlineStr">
        <is>
          <t>UILLIAN</t>
        </is>
      </c>
      <c r="B24" s="7" t="n">
        <v>5648.41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25</v>
      </c>
      <c r="J24" s="8" t="n">
        <v>5673.41</v>
      </c>
      <c r="K24" s="7" t="n">
        <v>-25</v>
      </c>
      <c r="L24" s="7" t="n">
        <v>0</v>
      </c>
      <c r="M24" s="8" t="n">
        <v>-25</v>
      </c>
      <c r="N24" s="9" t="n">
        <v>5648.41</v>
      </c>
      <c r="O24" s="10" t="inlineStr">
        <is>
          <t>Não recebe comissão.</t>
        </is>
      </c>
    </row>
    <row r="25">
      <c r="A25" s="6" t="inlineStr">
        <is>
          <t>MANOEL</t>
        </is>
      </c>
      <c r="B25" s="7" t="n">
        <v>1621</v>
      </c>
      <c r="C25" s="7" t="n">
        <v>0</v>
      </c>
      <c r="D25" s="7" t="n">
        <v>0</v>
      </c>
      <c r="E25" s="7" t="n">
        <v>1650.76</v>
      </c>
      <c r="F25" s="7" t="n">
        <v>317.45</v>
      </c>
      <c r="G25" s="7" t="n">
        <v>0</v>
      </c>
      <c r="H25" s="7" t="n">
        <v>0</v>
      </c>
      <c r="I25" s="7" t="n">
        <v>49</v>
      </c>
      <c r="J25" s="8" t="n">
        <v>3638.21</v>
      </c>
      <c r="K25" s="7" t="n">
        <v>-49</v>
      </c>
      <c r="L25" s="7" t="n">
        <v>0</v>
      </c>
      <c r="M25" s="8" t="n">
        <v>-49</v>
      </c>
      <c r="N25" s="9" t="n">
        <v>3589.21</v>
      </c>
      <c r="O25" s="10" t="inlineStr">
        <is>
          <t>Comissão apurada R$ 825,38 × 2.</t>
        </is>
      </c>
    </row>
    <row r="26">
      <c r="A26" s="6" t="inlineStr">
        <is>
          <t>VALDICK</t>
        </is>
      </c>
      <c r="B26" s="7" t="n">
        <v>1621</v>
      </c>
      <c r="C26" s="7" t="n">
        <v>0</v>
      </c>
      <c r="D26" s="7" t="n">
        <v>0</v>
      </c>
      <c r="E26" s="7" t="n">
        <v>1772.6</v>
      </c>
      <c r="F26" s="7" t="n">
        <v>340.88</v>
      </c>
      <c r="G26" s="7" t="n">
        <v>0</v>
      </c>
      <c r="H26" s="7" t="n">
        <v>0</v>
      </c>
      <c r="I26" s="7" t="n">
        <v>260</v>
      </c>
      <c r="J26" s="8" t="n">
        <v>3994.48</v>
      </c>
      <c r="K26" s="7" t="n">
        <v>-260</v>
      </c>
      <c r="L26" s="7" t="n">
        <v>0</v>
      </c>
      <c r="M26" s="8" t="n">
        <v>-260</v>
      </c>
      <c r="N26" s="9" t="n">
        <v>3734.48</v>
      </c>
      <c r="O26" s="10" t="inlineStr">
        <is>
          <t>Comissão apurada R$ 886,30 × 2.</t>
        </is>
      </c>
    </row>
    <row r="27">
      <c r="A27" s="6" t="inlineStr">
        <is>
          <t>INIURLE</t>
        </is>
      </c>
      <c r="B27" s="7" t="n">
        <v>1621</v>
      </c>
      <c r="C27" s="7" t="n">
        <v>442.09</v>
      </c>
      <c r="D27" s="7" t="n">
        <v>0</v>
      </c>
      <c r="E27" s="7" t="n">
        <v>470.84</v>
      </c>
      <c r="F27" s="7" t="n">
        <v>175.56</v>
      </c>
      <c r="G27" s="7" t="n">
        <v>0</v>
      </c>
      <c r="H27" s="7" t="n">
        <v>0</v>
      </c>
      <c r="I27" s="7" t="n">
        <v>0</v>
      </c>
      <c r="J27" s="8" t="n">
        <v>2709.49</v>
      </c>
      <c r="K27" s="7" t="n">
        <v>-0</v>
      </c>
      <c r="L27" s="7" t="n">
        <v>0</v>
      </c>
      <c r="M27" s="8" t="n">
        <v>0</v>
      </c>
      <c r="N27" s="9" t="n">
        <v>2709.49</v>
      </c>
      <c r="O27" s="10" t="inlineStr">
        <is>
          <t>Comissão apurada R$ 235,42 × 2. 40 horas extras.</t>
        </is>
      </c>
    </row>
    <row r="28">
      <c r="A28" s="6" t="inlineStr">
        <is>
          <t>TAMILES</t>
        </is>
      </c>
      <c r="B28" s="7" t="n">
        <v>1621</v>
      </c>
      <c r="C28" s="7" t="n">
        <v>0</v>
      </c>
      <c r="D28" s="7" t="n">
        <v>0</v>
      </c>
      <c r="E28" s="7" t="n">
        <v>251.16</v>
      </c>
      <c r="F28" s="7" t="n">
        <v>48.3</v>
      </c>
      <c r="G28" s="7" t="n">
        <v>0</v>
      </c>
      <c r="H28" s="7" t="n">
        <v>0</v>
      </c>
      <c r="I28" s="7" t="n">
        <v>0</v>
      </c>
      <c r="J28" s="8" t="n">
        <v>1920.46</v>
      </c>
      <c r="K28" s="7" t="n">
        <v>-0</v>
      </c>
      <c r="L28" s="7" t="n">
        <v>0</v>
      </c>
      <c r="M28" s="8" t="n">
        <v>0</v>
      </c>
      <c r="N28" s="9" t="n">
        <v>1920.46</v>
      </c>
      <c r="O28" s="10" t="inlineStr">
        <is>
          <t>Comissão apurada R$ 125,58 × 2. Atestado de 02 a 08/09 é competência de setembro.</t>
        </is>
      </c>
    </row>
    <row r="29">
      <c r="A29" s="11" t="inlineStr">
        <is>
          <t>TOTAL TRANCOSO</t>
        </is>
      </c>
      <c r="B29" s="12">
        <f>SUM(B24:B28)</f>
        <v/>
      </c>
      <c r="C29" s="12">
        <f>SUM(C24:C28)</f>
        <v/>
      </c>
      <c r="D29" s="12">
        <f>SUM(D24:D28)</f>
        <v/>
      </c>
      <c r="E29" s="12">
        <f>SUM(E24:E28)</f>
        <v/>
      </c>
      <c r="F29" s="12">
        <f>SUM(F24:F28)</f>
        <v/>
      </c>
      <c r="G29" s="12">
        <f>SUM(G24:G28)</f>
        <v/>
      </c>
      <c r="H29" s="12">
        <f>SUM(H24:H28)</f>
        <v/>
      </c>
      <c r="I29" s="12">
        <f>SUM(I24:I28)</f>
        <v/>
      </c>
      <c r="J29" s="12">
        <f>SUM(J24:J28)</f>
        <v/>
      </c>
      <c r="K29" s="12">
        <f>SUM(K24:K28)</f>
        <v/>
      </c>
      <c r="L29" s="12">
        <f>SUM(L24:L28)</f>
        <v/>
      </c>
      <c r="M29" s="12">
        <f>SUM(M24:M28)</f>
        <v/>
      </c>
      <c r="N29" s="12">
        <f>SUM(N24:N28)</f>
        <v/>
      </c>
      <c r="O29" s="13" t="n"/>
    </row>
    <row r="31" ht="22" customHeight="1">
      <c r="A31" s="14" t="inlineStr">
        <is>
          <t>TOTAL GERAL — 3 LOJAS</t>
        </is>
      </c>
      <c r="B31" s="15">
        <f>B14+B22+B29</f>
        <v/>
      </c>
      <c r="C31" s="15">
        <f>C14+C22+C29</f>
        <v/>
      </c>
      <c r="D31" s="15">
        <f>D14+D22+D29</f>
        <v/>
      </c>
      <c r="E31" s="15">
        <f>E14+E22+E29</f>
        <v/>
      </c>
      <c r="F31" s="15">
        <f>F14+F22+F29</f>
        <v/>
      </c>
      <c r="G31" s="15">
        <f>G14+G22+G29</f>
        <v/>
      </c>
      <c r="H31" s="15">
        <f>H14+H22+H29</f>
        <v/>
      </c>
      <c r="I31" s="15">
        <f>I14+I22+I29</f>
        <v/>
      </c>
      <c r="J31" s="15">
        <f>J14+J22+J29</f>
        <v/>
      </c>
      <c r="K31" s="15">
        <f>K14+K22+K29</f>
        <v/>
      </c>
      <c r="L31" s="15">
        <f>L14+L22+L29</f>
        <v/>
      </c>
      <c r="M31" s="15">
        <f>M14+M22+M29</f>
        <v/>
      </c>
      <c r="N31" s="15">
        <f>N14+N22+N29</f>
        <v/>
      </c>
      <c r="O31" s="16" t="n"/>
    </row>
    <row r="33">
      <c r="A33" s="17" t="inlineStr">
        <is>
          <t>O QUE AINDA NÃO ESTÁ NESTE RESUMO — precisa ser somado antes de fechar o holerite:</t>
        </is>
      </c>
    </row>
    <row r="34">
      <c r="A34" s="18" t="inlineStr">
        <is>
          <t>• INSS e IRRF de cada funcionário (cálculo da contabilidade) — por isso a última coluna é LÍQUIDO PARCIAL.</t>
        </is>
      </c>
    </row>
    <row r="35">
      <c r="A35" s="18" t="inlineStr">
        <is>
          <t>• Vales adiantados, convênio e descontos de falta do mês.</t>
        </is>
      </c>
    </row>
    <row r="36">
      <c r="A36" s="18" t="inlineStr">
        <is>
          <t>• Prêmio cota geral e prêmio pré-vencidos, conforme a apuração de metas de cada loja.</t>
        </is>
      </c>
    </row>
    <row r="37">
      <c r="A37" s="18" t="inlineStr">
        <is>
          <t>• Diárias dos folguistas SERGIO (R$ 150,00) e ANA CELIA (R$ 100,00), na loja Centro — vão para o contas a pagar, fora do holerite.</t>
        </is>
      </c>
    </row>
    <row r="38">
      <c r="A38" s="18" t="inlineStr"/>
    </row>
    <row r="39">
      <c r="A39" s="19" t="inlineStr">
        <is>
          <t>CRITÉRIOS USADOS:</t>
        </is>
      </c>
    </row>
    <row r="40">
      <c r="A40" s="18" t="inlineStr">
        <is>
          <t>• DSR sobre comissão e horas extras: 5 domingos ÷ 26 dias úteis de agosto/2026 = fator 0,192307.</t>
        </is>
      </c>
    </row>
    <row r="41">
      <c r="A41" s="18" t="inlineStr">
        <is>
          <t>• Salário-hora = salário ÷ 220. Hora extra = salário-hora × 1,5 (R$ 11,0523). Adicional noturno = salário-hora × 20% (R$ 1,4736).</t>
        </is>
      </c>
    </row>
    <row r="42">
      <c r="A42" s="18" t="inlineStr">
        <is>
          <t>• Feriado de 15/08 trabalhado sem folga = 1 salário-dia a mais (R$ 54,03).</t>
        </is>
      </c>
    </row>
    <row r="43">
      <c r="A43" s="18" t="inlineStr">
        <is>
          <t>• TRANCOSO paga o dobro da comissão apurada no InovaFarma; os incentivos entram pelo valor simples.</t>
        </is>
      </c>
    </row>
    <row r="44">
      <c r="A44" s="18" t="inlineStr">
        <is>
          <t>• Os incentivos são adiantados em dinheiro durante o mês, por isso aparecem como provento e como desconto (ADIANT. INCENT.).</t>
        </is>
      </c>
    </row>
    <row r="45">
      <c r="A45" s="18" t="inlineStr">
        <is>
          <t>• Comissões e incentivos vêm do relatório do InovaFarma de 01/08 a 31/08/2026, extraído em 03/09/2026.</t>
        </is>
      </c>
    </row>
  </sheetData>
  <autoFilter ref="A4:O29"/>
  <mergeCells count="15">
    <mergeCell ref="A40:O40"/>
    <mergeCell ref="A35:O35"/>
    <mergeCell ref="A43:O43"/>
    <mergeCell ref="A38:O38"/>
    <mergeCell ref="A2:O2"/>
    <mergeCell ref="A42:O42"/>
    <mergeCell ref="A41:O41"/>
    <mergeCell ref="A33:O33"/>
    <mergeCell ref="A36:O36"/>
    <mergeCell ref="A44:O44"/>
    <mergeCell ref="A1:O1"/>
    <mergeCell ref="A37:O37"/>
    <mergeCell ref="A45:O45"/>
    <mergeCell ref="A34:O34"/>
    <mergeCell ref="A39:O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2026-09-03T16:14:27Z</dcterms:created>
  <dcterms:modified xsi:type="dcterms:W3CDTF">2026-09-03T16:14:27Z</dcterms:modified>
</cp:coreProperties>
</file>