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AGO.26" sheetId="3" state="visible" r:id="rId3"/>
    <sheet name="HOLERITE AGO.26" sheetId="4" state="visible" r:id="rId4"/>
    <sheet name="JULHO.26 REVISADO" sheetId="5" state="visible" r:id="rId5"/>
    <sheet name="LISTA CONTABILIDADE" sheetId="6" state="visible" r:id="rId6"/>
    <sheet name="GANHOS DO COLABORADOR" sheetId="7" state="visible" r:id="rId7"/>
    <sheet name="PONTO AGO.26" sheetId="8" state="visible" r:id="rId8"/>
  </sheets>
  <definedNames>
    <definedName name="_xlnm._FilterDatabase" localSheetId="2" hidden="1">'BASE INOVAFARMA AGO.26'!$A$4:$J$12</definedName>
    <definedName name="_xlnm._FilterDatabase" localSheetId="3" hidden="1">'HOLERITE AGO.26'!$A$4:$K$36</definedName>
    <definedName name="_xlnm._FilterDatabase" localSheetId="4" hidden="1">'JULHO.26 REVISADO'!$A$4:$K$30</definedName>
    <definedName name="_xlnm._FilterDatabase" localSheetId="5" hidden="1">'LISTA CONTABILIDADE'!$A$4:$E$187</definedName>
    <definedName name="_xlnm.Print_Area" localSheetId="6">'GANHOS DO COLABORADOR'!$A$1:$D$45</definedName>
    <definedName name="_xlnm._FilterDatabase" localSheetId="7" hidden="1">'PONTO AGO.26'!$A$4:$I$20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10" fillId="6" borderId="1" pivotButton="0" quotePrefix="0" xfId="0"/>
    <xf numFmtId="0" fontId="10" fillId="6" borderId="1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11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2" fillId="0" borderId="1" pivotButton="0" quotePrefix="0" xfId="0"/>
    <xf numFmtId="164" fontId="11" fillId="0" borderId="1" pivotButton="0" quotePrefix="0" xfId="0"/>
    <xf numFmtId="164" fontId="5" fillId="4" borderId="1" pivotButton="0" quotePrefix="0" xfId="0"/>
    <xf numFmtId="164" fontId="11" fillId="7" borderId="1" pivotButton="0" quotePrefix="0" xfId="0"/>
    <xf numFmtId="164" fontId="4" fillId="8" borderId="1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1" pivotButton="0" quotePrefix="0" xfId="0"/>
    <xf numFmtId="0" fontId="11" fillId="5" borderId="1" pivotButton="0" quotePrefix="0" xfId="0"/>
    <xf numFmtId="164" fontId="13" fillId="5" borderId="1" pivotButton="0" quotePrefix="0" xfId="0"/>
    <xf numFmtId="0" fontId="4" fillId="8" borderId="1" pivotButton="0" quotePrefix="0" xfId="0"/>
    <xf numFmtId="0" fontId="11" fillId="8" borderId="1" pivotButton="0" quotePrefix="0" xfId="0"/>
    <xf numFmtId="164" fontId="13" fillId="8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14" fillId="4" borderId="1" applyAlignment="1" pivotButton="0" quotePrefix="0" xfId="0">
      <alignment horizontal="center"/>
    </xf>
    <xf numFmtId="0" fontId="15" fillId="8" borderId="1" pivotButton="0" quotePrefix="0" xfId="0"/>
    <xf numFmtId="164" fontId="16" fillId="8" borderId="1" pivotButton="0" quotePrefix="0" xfId="0"/>
    <xf numFmtId="0" fontId="2" fillId="0" borderId="0" pivotButton="0" quotePrefix="0" xfId="0"/>
    <xf numFmtId="0" fontId="8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</t>
        </is>
      </c>
    </row>
    <row r="6" ht="17" customHeight="1">
      <c r="A6" s="4" t="inlineStr"/>
      <c r="B6" s="5" t="inlineStr">
        <is>
          <t>Competência (mês de referência): AGOSTO/2026 — vendas de 01/08/2026 a 31/08/2026</t>
        </is>
      </c>
    </row>
    <row r="7" ht="17" customHeight="1">
      <c r="A7" s="4" t="inlineStr"/>
      <c r="B7" s="5" t="inlineStr">
        <is>
          <t>Data do pagamento: 05/09/2026</t>
        </is>
      </c>
    </row>
    <row r="8" ht="17" customHeight="1">
      <c r="A8" s="4" t="inlineStr"/>
      <c r="B8" s="5" t="inlineStr">
        <is>
          <t>Fonte das comissões e incentivos: InovaFarma — Relatório detalhado de comissão de vendedor, extraído em 03/09/2026</t>
        </is>
      </c>
    </row>
    <row r="9" ht="17" customHeight="1">
      <c r="A9" s="4" t="inlineStr"/>
      <c r="B9" s="5" t="inlineStr">
        <is>
          <t>Funcionários: DEAN, AGNOR, EDEY, JOEL, VALÉRIA, SARA, CAMILA e NATI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AGO.26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 (texto verde/preto).</t>
        </is>
      </c>
    </row>
    <row r="15" ht="17" customHeight="1">
      <c r="A15" s="4" t="inlineStr"/>
      <c r="B15" s="5" t="inlineStr">
        <is>
          <t>5. A aba LISTA CONTABILIDADE traz os mesmos valores em formato de lista, rubrica por rubrica.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O QUE JÁ ESTÁ APURADO (AGOSTO/2026)</t>
        </is>
      </c>
    </row>
    <row r="18" ht="17" customHeight="1">
      <c r="A18" s="4" t="inlineStr"/>
      <c r="B18" s="5" t="inlineStr">
        <is>
          <t>Comissão total apurada no InovaFarma para os 8 funcionários: R$ 4.856,68 · Incentivos: R$ 685,00</t>
        </is>
      </c>
    </row>
    <row r="19" ht="17" customHeight="1">
      <c r="A19" s="4" t="inlineStr"/>
      <c r="B19" s="5" t="inlineStr">
        <is>
          <t>Venda bruta geral do mês: R$ 300.371,95 · Descontos concedidos: R$ 90.276,65 · Venda líquida: R$ 210.095,30</t>
        </is>
      </c>
    </row>
    <row r="20" ht="17" customHeight="1">
      <c r="A20" s="4" t="inlineStr"/>
      <c r="B20" s="5" t="inlineStr">
        <is>
          <t>DSR de agosto/2026: 5 domingos (02, 09, 16, 23 e 30) ÷ 26 dias úteis = fator 0,192307</t>
        </is>
      </c>
    </row>
    <row r="21" ht="20" customHeight="1">
      <c r="A21" s="3" t="inlineStr">
        <is>
          <t>APONTAMENTO DE AGOSTO/2026 (aba PONTO AGO.26)</t>
        </is>
      </c>
    </row>
    <row r="22" ht="17" customHeight="1">
      <c r="A22" s="4" t="inlineStr"/>
      <c r="B22" s="5" t="inlineStr">
        <is>
          <t>EDEY: 24 horas extras normais → R$ 265,25.</t>
        </is>
      </c>
    </row>
    <row r="23" ht="17" customHeight="1">
      <c r="A23" s="4" t="inlineStr"/>
      <c r="B23" s="5" t="inlineStr">
        <is>
          <t>NATI: 17 horas noturnas → R$ 25,05 de adicional; e o feriado de 15/08 trabalhado sem folga → R$ 54,03.</t>
        </is>
      </c>
    </row>
    <row r="24" ht="17" customHeight="1">
      <c r="A24" s="4" t="inlineStr"/>
      <c r="B24" s="5" t="inlineStr">
        <is>
          <t>CAMILA, SARA e VALÉRIA: dia 15/08 (feriado) trabalhado → R$ 54,03 cada.</t>
        </is>
      </c>
    </row>
    <row r="25" ht="17" customHeight="1">
      <c r="A25" s="4" t="inlineStr"/>
      <c r="B25" s="5" t="inlineStr">
        <is>
          <t>VALÉRIA: 2 madrugadas com folga no dia seguinte — cabe só o adicional noturno; falta informar as horas.</t>
        </is>
      </c>
    </row>
    <row r="26" ht="17" customHeight="1">
      <c r="A26" s="4" t="inlineStr"/>
      <c r="B26" s="5" t="inlineStr">
        <is>
          <t>AGNOR: 3 madrugadas com folga — cabe só o adicional noturno; falta informar as horas.</t>
        </is>
      </c>
    </row>
    <row r="27" ht="17" customHeight="1">
      <c r="A27" s="4" t="inlineStr"/>
      <c r="B27" s="5" t="inlineStr">
        <is>
          <t>DEAN: dia 15/08 trabalhado com folga compensatória — nada a pagar.</t>
        </is>
      </c>
    </row>
    <row r="28" ht="20" customHeight="1">
      <c r="A28" s="3" t="inlineStr">
        <is>
          <t>JÁ DEFINIDO PELA EMPRESA</t>
        </is>
      </c>
    </row>
    <row r="29" ht="17" customHeight="1">
      <c r="A29" s="4" t="inlineStr"/>
      <c r="B29" s="5" t="inlineStr">
        <is>
          <t>AGNOR: mantida a comissão fixa de R$ 2.000,00 — a linha COMPLEMENTO / COMISSÃO PDV calcula sozinha a diferença (R$ 1.090,49) sobre o apurado de R$ 909,51.</t>
        </is>
      </c>
    </row>
    <row r="30" ht="17" customHeight="1">
      <c r="A30" s="4" t="inlineStr"/>
      <c r="B30" s="5" t="inlineStr">
        <is>
          <t>JOEL: por acordo interno saiu em 04/08 e volta em 04/09, mas o recibo de férias saiu como 01 a 31/08 e já foi pago no início de agosto. Por isso ele tem comissão dos dias 01 e 02/08 (R$ 103,31) e fica sem salário e sem desconto de vale-transporte neste holerite; férias e 1/3 NÃO se repetem aqui.</t>
        </is>
      </c>
    </row>
    <row r="31" ht="17" customHeight="1">
      <c r="A31" s="4" t="inlineStr"/>
      <c r="B31" s="5" t="inlineStr">
        <is>
          <t>CAMILA: contratada recentemente; agosto é o primeiro mês completo, com salário integral de R$ 1.621,00.</t>
        </is>
      </c>
    </row>
    <row r="32" ht="17" customHeight="1">
      <c r="A32" s="4" t="inlineStr"/>
      <c r="B32" s="5" t="inlineStr">
        <is>
          <t>SARA: a comissão dela na loja Centro (R$ 2,65) foi somada aqui, na linha COMPLEMENTO / COMISSÃO PDV.</t>
        </is>
      </c>
    </row>
    <row r="33" ht="17" customHeight="1">
      <c r="A33" s="4" t="inlineStr"/>
      <c r="B33" s="5" t="inlineStr">
        <is>
          <t>DEAN: não recebe comissão sobre vendas — a rubrica fica zerada na folha (a apurada, R$ 975,65, aparece só na aba BASE). Os incentivos dele continuam sendo pagos normalmente.</t>
        </is>
      </c>
    </row>
    <row r="34" ht="20" customHeight="1">
      <c r="A34" s="3" t="inlineStr">
        <is>
          <t>PENDÊNCIAS — CONFIRMAR ANTES DE ENVIAR</t>
        </is>
      </c>
    </row>
    <row r="35" ht="17" customHeight="1">
      <c r="A35" s="4" t="inlineStr">
        <is>
          <t>•</t>
        </is>
      </c>
      <c r="B35" s="6" t="inlineStr">
        <is>
          <t>VALÉRIA e AGNOR: informar na aba PONTO AGO.26 quantas horas noturnas tiveram as madrugadas trabalhadas (2 e 3 madrugadas).</t>
        </is>
      </c>
    </row>
    <row r="36" ht="17" customHeight="1">
      <c r="A36" s="4" t="inlineStr">
        <is>
          <t>•</t>
        </is>
      </c>
      <c r="B36" s="6" t="inlineStr">
        <is>
          <t>EDEY: o adicional noturno está lançado como valor fixo de R$ 350,00 — conferir com o apontamento do ponto.</t>
        </is>
      </c>
    </row>
    <row r="37" ht="17" customHeight="1">
      <c r="A37" s="4" t="inlineStr">
        <is>
          <t>•</t>
        </is>
      </c>
      <c r="B37" s="6" t="inlineStr">
        <is>
          <t>Confirmar o critério do feriado trabalhado: está sendo pago 1 salário-dia a mais (R$ 54,03) por feriado sem folga.</t>
        </is>
      </c>
    </row>
    <row r="38" ht="17" customHeight="1">
      <c r="A38" s="4" t="inlineStr">
        <is>
          <t>•</t>
        </is>
      </c>
      <c r="B38" s="6" t="inlineStr">
        <is>
          <t>Prêmio cota geral e prêmio pré-vencidos de agosto.</t>
        </is>
      </c>
    </row>
    <row r="39" ht="17" customHeight="1">
      <c r="A39" s="4" t="inlineStr">
        <is>
          <t>•</t>
        </is>
      </c>
      <c r="B39" s="6" t="inlineStr">
        <is>
          <t>Vales adiantados, convênio e faltas de agosto.</t>
        </is>
      </c>
    </row>
    <row r="40" ht="17" customHeight="1">
      <c r="A40" s="4" t="inlineStr">
        <is>
          <t>•</t>
        </is>
      </c>
      <c r="B40" s="6" t="inlineStr">
        <is>
          <t>JOEL: confirmar se há algum desconto para agosto (convênio, vale ou adiantamento) — hoje o holerite dele fica só com a comissão de R$ 103,31 e o DSR.</t>
        </is>
      </c>
    </row>
    <row r="41" ht="17" customHeight="1">
      <c r="A41" s="4" t="inlineStr">
        <is>
          <t>•</t>
        </is>
      </c>
      <c r="B41" s="6" t="inlineStr">
        <is>
          <t>JOEL: como o retorno é em 04/09, o vale-transporte de setembro deve ser proporcional e o holerite de setembro ainda pega os dias 01 a 03/09 de férias, já pagos no recibo de agosto.</t>
        </is>
      </c>
    </row>
    <row r="42" ht="17" customHeight="1">
      <c r="A42" s="4" t="inlineStr">
        <is>
          <t>•</t>
        </is>
      </c>
      <c r="B42" s="6" t="inlineStr">
        <is>
          <t>Comissões de PDV antigos, que em julho eram somadas à comissão do sistema.</t>
        </is>
      </c>
    </row>
    <row r="43" ht="17" customHeight="1">
      <c r="A43" s="4" t="inlineStr">
        <is>
          <t>•</t>
        </is>
      </c>
      <c r="B43" s="6" t="inlineStr">
        <is>
          <t>Desconto de vale-transporte: vem sendo lançado R$ 84,29; 6% do salário de R$ 1.621,00 seria R$ 97,26.</t>
        </is>
      </c>
    </row>
    <row r="44" ht="17" customHeight="1">
      <c r="A44" s="4" t="inlineStr">
        <is>
          <t>•</t>
        </is>
      </c>
      <c r="B44" s="6" t="inlineStr">
        <is>
          <t>DSR de julho/2026 foi calculado com o fator de agosto (5/26) em vez de 4/27 — ver aba JULHO.26 REVISADO e decidir se ajusta em setembro.</t>
        </is>
      </c>
    </row>
    <row r="45" ht="20" customHeight="1">
      <c r="A45" s="3" t="inlineStr">
        <is>
          <t>OBSERVAÇÃO TÉCNICA</t>
        </is>
      </c>
    </row>
    <row r="46" ht="17" customHeight="1">
      <c r="A46" s="4" t="inlineStr"/>
      <c r="B46" s="5" t="inlineStr">
        <is>
          <t>As células de total e de cálculo são fórmulas. Ao abrir o arquivo no Excel ou no Google Planilhas os valores aparecem calculados automaticamente; em visualizadores simples (prévia de celular, por exemplo) elas podem aparecer em branco até o arquivo ser aberto de fato.</t>
        </is>
      </c>
    </row>
    <row r="47" ht="20" customHeight="1">
      <c r="A47" s="3" t="inlineStr">
        <is>
          <t>ABAS DO ARQUIVO</t>
        </is>
      </c>
    </row>
    <row r="48" ht="17" customHeight="1">
      <c r="A48" s="4" t="inlineStr"/>
      <c r="B48" s="5" t="inlineStr">
        <is>
          <t>HOLERITE AGO.26 — relatório principal da competência agosto/2026.</t>
        </is>
      </c>
    </row>
    <row r="49" ht="17" customHeight="1">
      <c r="A49" s="4" t="inlineStr"/>
      <c r="B49" s="5" t="inlineStr">
        <is>
          <t>PONTO AGO.26 — apontamento de horas extras, adicional noturno e feriado trabalhado; alimenta o holerite.</t>
        </is>
      </c>
    </row>
    <row r="50" ht="17" customHeight="1">
      <c r="A50" s="4" t="inlineStr"/>
      <c r="B50" s="5" t="inlineStr">
        <is>
          <t>GANHOS DO COLABORADOR — escolha o nome na lista e saia o demonstrativo individual, pronto para imprimir/mandar.</t>
        </is>
      </c>
    </row>
    <row r="51" ht="17" customHeight="1">
      <c r="A51" s="4" t="inlineStr"/>
      <c r="B51" s="5" t="inlineStr">
        <is>
          <t>LISTA CONTABILIDADE — os mesmos lançamentos em formato de lista por funcionário.</t>
        </is>
      </c>
    </row>
    <row r="52" ht="17" customHeight="1">
      <c r="A52" s="4" t="inlineStr"/>
      <c r="B52" s="5" t="inlineStr">
        <is>
          <t>BASE INOVAFARMA AGO.26 — apuração de comissões e incentivos por vendedor.</t>
        </is>
      </c>
    </row>
    <row r="53" ht="17" customHeight="1">
      <c r="A53" s="4" t="inlineStr"/>
      <c r="B53" s="5" t="inlineStr">
        <is>
          <t>JULHO.26 REVISADO — a folha de julho reorganizada e conferida (valores pagos preservados).</t>
        </is>
      </c>
    </row>
    <row r="54" ht="17" customHeight="1">
      <c r="A54" s="4" t="inlineStr"/>
      <c r="B54" s="5" t="inlineStr">
        <is>
          <t>PARÂMETROS — calendário do mês, fator do DSR e valores fixos.</t>
        </is>
      </c>
    </row>
    <row r="56">
      <c r="B56" s="7" t="inlineStr">
        <is>
          <t>Documento gerado a partir da planilha CONISSÕES PLAN.AGOSTO/JULHO ARRAIAL 2026 e do relatório de comissões do InovaFarma.</t>
        </is>
      </c>
    </row>
  </sheetData>
  <mergeCells count="10">
    <mergeCell ref="A4:B4"/>
    <mergeCell ref="A21:B21"/>
    <mergeCell ref="A2:B2"/>
    <mergeCell ref="A10:B10"/>
    <mergeCell ref="A28:B28"/>
    <mergeCell ref="A45:B45"/>
    <mergeCell ref="A47:B47"/>
    <mergeCell ref="A1:B1"/>
    <mergeCell ref="A17:B17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competência AGOSTO/2026</t>
        </is>
      </c>
    </row>
    <row r="4" ht="20" customHeight="1">
      <c r="A4" s="3" t="inlineStr">
        <is>
          <t>COMPETÊNCIA / PAGAMENTO</t>
        </is>
      </c>
    </row>
    <row r="5">
      <c r="A5" s="8" t="inlineStr">
        <is>
          <t>Competência (mês de referência)</t>
        </is>
      </c>
      <c r="B5" s="9" t="inlineStr">
        <is>
          <t>AGOSTO/2026</t>
        </is>
      </c>
      <c r="C5" s="10" t="inlineStr">
        <is>
          <t>Vendas de 01/08/2026 a 31/08/2026 (relatório InovaFarma).</t>
        </is>
      </c>
    </row>
    <row r="6">
      <c r="A6" s="8" t="inlineStr">
        <is>
          <t>Data do pagamento</t>
        </is>
      </c>
      <c r="B6" s="9" t="inlineStr">
        <is>
          <t>05/09/2026</t>
        </is>
      </c>
      <c r="C6" s="10" t="inlineStr">
        <is>
          <t>Folha a ser lançada no holerite pago em 05/09/2026.</t>
        </is>
      </c>
    </row>
    <row r="7">
      <c r="A7" s="8" t="inlineStr">
        <is>
          <t>Data de extração do InovaFarma</t>
        </is>
      </c>
      <c r="B7" s="9" t="inlineStr">
        <is>
          <t>03/09/2026</t>
        </is>
      </c>
      <c r="C7" s="10" t="inlineStr">
        <is>
          <t>Arquivo Comissao_de_Vendedores03092026_080157.xlsx.</t>
        </is>
      </c>
    </row>
    <row r="8" ht="20" customHeight="1">
      <c r="A8" s="3" t="inlineStr">
        <is>
          <t>CALENDÁRIO DO MÊS (base do DSR)</t>
        </is>
      </c>
    </row>
    <row r="9">
      <c r="A9" s="8" t="inlineStr">
        <is>
          <t>Dias do mês</t>
        </is>
      </c>
      <c r="B9" s="9" t="n">
        <v>31</v>
      </c>
      <c r="C9" s="10" t="inlineStr">
        <is>
          <t>Agosto/2026.</t>
        </is>
      </c>
    </row>
    <row r="10">
      <c r="A10" s="8" t="inlineStr">
        <is>
          <t>Domingos + feriados</t>
        </is>
      </c>
      <c r="B10" s="9" t="n">
        <v>5</v>
      </c>
      <c r="C10" s="10" t="inlineStr">
        <is>
          <t>Domingos: 02, 09, 16, 23 e 30/08/2026. Sem feriado nacional em agosto.</t>
        </is>
      </c>
    </row>
    <row r="11">
      <c r="A11" s="8" t="inlineStr">
        <is>
          <t>Dias úteis (inclui sábados)</t>
        </is>
      </c>
      <c r="B11" s="9">
        <f>B9-B10</f>
        <v/>
      </c>
      <c r="C11" s="10" t="inlineStr">
        <is>
          <t>Dias do mês menos domingos e feriados.</t>
        </is>
      </c>
    </row>
    <row r="12">
      <c r="A12" s="8" t="inlineStr">
        <is>
          <t>Fator DSR (domingos ÷ dias úteis)</t>
        </is>
      </c>
      <c r="B12" s="11">
        <f>B10/B11</f>
        <v/>
      </c>
      <c r="C12" s="10" t="inlineStr">
        <is>
          <t>Domingos ÷ dias úteis. Usado na rubrica REPOUSO REMUNERADO / DSR da aba HOLERITE AGO.26.</t>
        </is>
      </c>
    </row>
    <row r="13" ht="20" customHeight="1">
      <c r="A13" s="3" t="inlineStr">
        <is>
          <t>VALORES FIXOS / RECORRENTES</t>
        </is>
      </c>
    </row>
    <row r="14">
      <c r="A14" s="8" t="inlineStr">
        <is>
          <t>Salário base (piso 2026)</t>
        </is>
      </c>
      <c r="B14" s="12" t="n">
        <v>1621</v>
      </c>
      <c r="C14" s="10" t="inlineStr">
        <is>
          <t>Valor praticado em jul/2026 para todos, exceto DEAN.</t>
        </is>
      </c>
    </row>
    <row r="15">
      <c r="A15" s="8" t="inlineStr">
        <is>
          <t>Salário DEAN</t>
        </is>
      </c>
      <c r="B15" s="12" t="n">
        <v>5648.41</v>
      </c>
      <c r="C15" s="10" t="inlineStr">
        <is>
          <t>Conforme jul/2026.</t>
        </is>
      </c>
    </row>
    <row r="16">
      <c r="A16" s="8" t="inlineStr">
        <is>
          <t>Auxílio gerência</t>
        </is>
      </c>
      <c r="B16" s="12" t="n">
        <v>810.5</v>
      </c>
      <c r="C16" s="10" t="inlineStr">
        <is>
          <t>AGNOR e SARA (conforme jul/2026).</t>
        </is>
      </c>
    </row>
    <row r="17">
      <c r="A17" s="8" t="inlineStr">
        <is>
          <t>Adicional prêmio meta caixa</t>
        </is>
      </c>
      <c r="B17" s="12" t="n">
        <v>307.99</v>
      </c>
      <c r="C17" s="10" t="inlineStr">
        <is>
          <t>VALÉRIA e NATI (conforme jul/2026).</t>
        </is>
      </c>
    </row>
    <row r="18">
      <c r="A18" s="8" t="inlineStr">
        <is>
          <t>Adicional noturno EDEY</t>
        </is>
      </c>
      <c r="B18" s="12" t="n">
        <v>350</v>
      </c>
      <c r="C18" s="10" t="inlineStr">
        <is>
          <t>Conforme jul/2026 — conferir apontamento do ponto.</t>
        </is>
      </c>
    </row>
    <row r="19">
      <c r="A19" s="8" t="inlineStr">
        <is>
          <t>Comissão fixa acordada — AGNOR</t>
        </is>
      </c>
      <c r="B19" s="12" t="n">
        <v>2000</v>
      </c>
      <c r="C19" s="10" t="inlineStr">
        <is>
          <t>Valor fixo mantido pela empresa. O complemento é a diferença entre este valor e a comissão apurada no InovaFarma.</t>
        </is>
      </c>
    </row>
    <row r="20">
      <c r="A20" s="8" t="inlineStr">
        <is>
          <t>Horas mensais (base do salário-hora)</t>
        </is>
      </c>
      <c r="B20" s="9" t="n">
        <v>220</v>
      </c>
      <c r="C20" s="10" t="inlineStr">
        <is>
          <t>Salário-hora = salário base ÷ 220.</t>
        </is>
      </c>
    </row>
    <row r="21">
      <c r="A21" s="8" t="inlineStr">
        <is>
          <t>Adicional de hora extra</t>
        </is>
      </c>
      <c r="B21" s="12" t="n">
        <v>0.5</v>
      </c>
      <c r="C21" s="10" t="inlineStr">
        <is>
          <t>50% sobre a hora normal (hora extra = salário-hora × 1,5).</t>
        </is>
      </c>
    </row>
    <row r="22">
      <c r="A22" s="8" t="inlineStr">
        <is>
          <t>Adicional noturno</t>
        </is>
      </c>
      <c r="B22" s="12" t="n">
        <v>0.2</v>
      </c>
      <c r="C22" s="10" t="inlineStr">
        <is>
          <t>20% sobre a hora normal, nas horas entre 22h e 5h.</t>
        </is>
      </c>
    </row>
    <row r="23">
      <c r="A23" s="8" t="inlineStr">
        <is>
          <t>Dias do mês para o salário-dia</t>
        </is>
      </c>
      <c r="B23" s="9" t="n">
        <v>30</v>
      </c>
      <c r="C23" s="10" t="inlineStr">
        <is>
          <t>Salário-dia = salário base ÷ 30. Usado no feriado trabalhado.</t>
        </is>
      </c>
    </row>
    <row r="24">
      <c r="A24" s="8" t="inlineStr">
        <is>
          <t>Desconto vale-transporte 6%</t>
        </is>
      </c>
      <c r="B24" s="12" t="n">
        <v>-84.29000000000001</v>
      </c>
      <c r="C24" s="10" t="inlineStr">
        <is>
          <t>Valor praticado em jul/2026. 6% do salário base daria R$ 97,26 — CONFERIR.</t>
        </is>
      </c>
    </row>
    <row r="25" ht="20" customHeight="1">
      <c r="A25" s="3" t="inlineStr">
        <is>
          <t>INSS / IRRF</t>
        </is>
      </c>
    </row>
    <row r="26">
      <c r="A26" s="8" t="inlineStr">
        <is>
          <t>INSS</t>
        </is>
      </c>
      <c r="B26" s="9" t="inlineStr">
        <is>
          <t>a calcular</t>
        </is>
      </c>
      <c r="C26" s="10" t="inlineStr">
        <is>
          <t>Calculado pela contabilidade sobre o total de proventos (tabela progressiva vigente).</t>
        </is>
      </c>
    </row>
    <row r="27">
      <c r="A27" s="8" t="inlineStr">
        <is>
          <t>IRRF</t>
        </is>
      </c>
      <c r="B27" s="9" t="inlineStr">
        <is>
          <t>a calcular</t>
        </is>
      </c>
      <c r="C27" s="10" t="inlineStr">
        <is>
          <t>Calculado pela contabilidade após dedução do INSS e dependentes.</t>
        </is>
      </c>
    </row>
  </sheetData>
  <mergeCells count="6">
    <mergeCell ref="A25:C25"/>
    <mergeCell ref="A13:C13"/>
    <mergeCell ref="A1:C1"/>
    <mergeCell ref="A8:C8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Relatório detalhado de comissão de vendedor · vendas de 01/08/2026 a 31/08/2026 · extraído em 03/09/2026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242</v>
      </c>
      <c r="B5" s="15" t="inlineStr">
        <is>
          <t>DEAN</t>
        </is>
      </c>
      <c r="C5" s="16" t="n">
        <v>53167.33</v>
      </c>
      <c r="D5" s="16" t="n">
        <v>22509.36</v>
      </c>
      <c r="E5" s="16" t="n">
        <v>30657.97</v>
      </c>
      <c r="F5" s="16" t="n">
        <v>975.65</v>
      </c>
      <c r="G5" s="16" t="n">
        <v>190</v>
      </c>
      <c r="H5" s="16" t="n">
        <v>0</v>
      </c>
      <c r="I5" s="16" t="n">
        <v>9</v>
      </c>
      <c r="J5" s="17">
        <f>SUM(G5:I5)</f>
        <v/>
      </c>
    </row>
    <row r="6">
      <c r="A6" s="14" t="n">
        <v>53</v>
      </c>
      <c r="B6" s="15" t="inlineStr">
        <is>
          <t>AGNOR</t>
        </is>
      </c>
      <c r="C6" s="16" t="n">
        <v>51871.06</v>
      </c>
      <c r="D6" s="16" t="n">
        <v>19353.31</v>
      </c>
      <c r="E6" s="16" t="n">
        <v>32517.75</v>
      </c>
      <c r="F6" s="16" t="n">
        <v>909.51</v>
      </c>
      <c r="G6" s="16" t="n">
        <v>150</v>
      </c>
      <c r="H6" s="16" t="n">
        <v>25</v>
      </c>
      <c r="I6" s="16" t="n">
        <v>14</v>
      </c>
      <c r="J6" s="17">
        <f>SUM(G6:I6)</f>
        <v/>
      </c>
    </row>
    <row r="7">
      <c r="A7" s="14" t="n">
        <v>272</v>
      </c>
      <c r="B7" s="15" t="inlineStr">
        <is>
          <t>EDEY</t>
        </is>
      </c>
      <c r="C7" s="16" t="n">
        <v>49696.15</v>
      </c>
      <c r="D7" s="16" t="n">
        <v>18497.95</v>
      </c>
      <c r="E7" s="16" t="n">
        <v>31198.2</v>
      </c>
      <c r="F7" s="16" t="n">
        <v>873.76</v>
      </c>
      <c r="G7" s="16" t="n">
        <v>40</v>
      </c>
      <c r="H7" s="16" t="n">
        <v>30</v>
      </c>
      <c r="I7" s="16" t="n">
        <v>3</v>
      </c>
      <c r="J7" s="17">
        <f>SUM(G7:I7)</f>
        <v/>
      </c>
    </row>
    <row r="8">
      <c r="A8" s="14" t="n">
        <v>181</v>
      </c>
      <c r="B8" s="15" t="inlineStr">
        <is>
          <t>JOEL</t>
        </is>
      </c>
      <c r="C8" s="16" t="n">
        <v>5057.69</v>
      </c>
      <c r="D8" s="16" t="n">
        <v>1361.04</v>
      </c>
      <c r="E8" s="16" t="n">
        <v>3696.65</v>
      </c>
      <c r="F8" s="16" t="n">
        <v>103.31</v>
      </c>
      <c r="G8" s="16" t="n">
        <v>20</v>
      </c>
      <c r="H8" s="16" t="n">
        <v>0</v>
      </c>
      <c r="I8" s="16" t="n">
        <v>2</v>
      </c>
      <c r="J8" s="17">
        <f>SUM(G8:I8)</f>
        <v/>
      </c>
    </row>
    <row r="9">
      <c r="A9" s="14" t="n">
        <v>292</v>
      </c>
      <c r="B9" s="15" t="inlineStr">
        <is>
          <t>VALÉRIA</t>
        </is>
      </c>
      <c r="C9" s="16" t="n">
        <v>61902.54</v>
      </c>
      <c r="D9" s="16" t="n">
        <v>22544.73</v>
      </c>
      <c r="E9" s="16" t="n">
        <v>39357.81</v>
      </c>
      <c r="F9" s="16" t="n">
        <v>1141.03</v>
      </c>
      <c r="G9" s="16" t="n">
        <v>140</v>
      </c>
      <c r="H9" s="16" t="n">
        <v>35</v>
      </c>
      <c r="I9" s="16" t="n">
        <v>17</v>
      </c>
      <c r="J9" s="17">
        <f>SUM(G9:I9)</f>
        <v/>
      </c>
    </row>
    <row r="10">
      <c r="A10" s="14" t="n">
        <v>43</v>
      </c>
      <c r="B10" s="15" t="inlineStr">
        <is>
          <t>SARA</t>
        </is>
      </c>
      <c r="C10" s="16" t="n">
        <v>29798.09</v>
      </c>
      <c r="D10" s="16" t="n">
        <v>3068.04</v>
      </c>
      <c r="E10" s="16" t="n">
        <v>26730.05</v>
      </c>
      <c r="F10" s="16" t="n">
        <v>368.78</v>
      </c>
      <c r="G10" s="16" t="n">
        <v>0</v>
      </c>
      <c r="H10" s="16" t="n">
        <v>0</v>
      </c>
      <c r="I10" s="16" t="n">
        <v>10</v>
      </c>
      <c r="J10" s="17">
        <f>SUM(G10:I10)</f>
        <v/>
      </c>
    </row>
    <row r="11">
      <c r="A11" s="14" t="n">
        <v>312</v>
      </c>
      <c r="B11" s="15" t="inlineStr">
        <is>
          <t>CAMILA</t>
        </is>
      </c>
      <c r="C11" s="16" t="n">
        <v>21520.43</v>
      </c>
      <c r="D11" s="16" t="n">
        <v>1007.45</v>
      </c>
      <c r="E11" s="16" t="n">
        <v>20512.98</v>
      </c>
      <c r="F11" s="16" t="n">
        <v>241.5</v>
      </c>
      <c r="G11" s="16" t="n">
        <v>0</v>
      </c>
      <c r="H11" s="16" t="n">
        <v>0</v>
      </c>
      <c r="I11" s="16" t="n">
        <v>0</v>
      </c>
      <c r="J11" s="17">
        <f>SUM(G11:I11)</f>
        <v/>
      </c>
    </row>
    <row r="12">
      <c r="A12" s="14" t="n">
        <v>212</v>
      </c>
      <c r="B12" s="15" t="inlineStr">
        <is>
          <t>NATI</t>
        </is>
      </c>
      <c r="C12" s="16" t="n">
        <v>26696.39</v>
      </c>
      <c r="D12" s="16" t="n">
        <v>1321.75</v>
      </c>
      <c r="E12" s="16" t="n">
        <v>25374.64</v>
      </c>
      <c r="F12" s="16" t="n">
        <v>243.14</v>
      </c>
      <c r="G12" s="16" t="n">
        <v>0</v>
      </c>
      <c r="H12" s="16" t="n">
        <v>0</v>
      </c>
      <c r="I12" s="16" t="n">
        <v>0</v>
      </c>
      <c r="J12" s="17">
        <f>SUM(G12:I12)</f>
        <v/>
      </c>
    </row>
    <row r="13">
      <c r="A13" s="18" t="n"/>
      <c r="B13" s="19" t="inlineStr">
        <is>
          <t>TOTAL FUNCIONÁRIOS</t>
        </is>
      </c>
      <c r="C13" s="20">
        <f>SUM(C5:C12)</f>
        <v/>
      </c>
      <c r="D13" s="20">
        <f>SUM(D5:D12)</f>
        <v/>
      </c>
      <c r="E13" s="20">
        <f>SUM(E5:E12)</f>
        <v/>
      </c>
      <c r="F13" s="20">
        <f>SUM(F5:F12)</f>
        <v/>
      </c>
      <c r="G13" s="20">
        <f>SUM(G5:G12)</f>
        <v/>
      </c>
      <c r="H13" s="20">
        <f>SUM(H5:H12)</f>
        <v/>
      </c>
      <c r="I13" s="20">
        <f>SUM(I5:I12)</f>
        <v/>
      </c>
      <c r="J13" s="20">
        <f>SUM(J5:J12)</f>
        <v/>
      </c>
    </row>
    <row r="15">
      <c r="A15" s="21" t="inlineStr">
        <is>
          <t>Códigos sem vínculo de folha (não entram no holerite):</t>
        </is>
      </c>
    </row>
    <row r="16">
      <c r="A16" s="22" t="inlineStr">
        <is>
          <t>11</t>
        </is>
      </c>
      <c r="B16" s="23" t="inlineStr">
        <is>
          <t>GILSON MOURA SANTOS</t>
        </is>
      </c>
      <c r="C16" s="24" t="n">
        <v>603.28</v>
      </c>
      <c r="F16" s="24" t="n">
        <v>0.0018</v>
      </c>
    </row>
    <row r="17">
      <c r="A17" s="22" t="inlineStr">
        <is>
          <t>41</t>
        </is>
      </c>
      <c r="B17" s="23" t="inlineStr">
        <is>
          <t>PEDRO</t>
        </is>
      </c>
      <c r="C17" s="24" t="n">
        <v>10.41</v>
      </c>
      <c r="F17" s="24" t="n">
        <v>0</v>
      </c>
    </row>
    <row r="18">
      <c r="A18" s="22" t="inlineStr">
        <is>
          <t>73</t>
        </is>
      </c>
      <c r="B18" s="23" t="inlineStr">
        <is>
          <t>BALCONISTA</t>
        </is>
      </c>
      <c r="C18" s="24" t="n">
        <v>48.58</v>
      </c>
      <c r="F18" s="24" t="n">
        <v>0</v>
      </c>
    </row>
    <row r="20" ht="26" customHeight="1">
      <c r="A20" s="25" t="inlineStr">
        <is>
          <t>CONFERÊNCIA — total geral do relatório InovaFarma: venda bruta R$ 300.371,95 · descontos R$ 90.276,65 · venda líquida R$ 210.095,30 · comissão R$ 4.856,69 · incentivo R$ 685,00.</t>
        </is>
      </c>
    </row>
    <row r="21" ht="26" customHeight="1">
      <c r="A21" s="25" t="inlineStr">
        <is>
          <t>INCENT. APLIC. = incentivo do grupo INJETÁVEIS (aplicações). INCENT. VITAM. = grupo APLICAÇÃO E VITAMINAS INCENTIVO. OUTROS INCENT. = populares, oficinais e similar normal.</t>
        </is>
      </c>
    </row>
    <row r="22" ht="26" customHeight="1">
      <c r="A22" s="25" t="inlineStr">
        <is>
          <t>A comissão acima é a APURADA pelo sistema. Comissões de PDV antigos e valores fixos acordados são lançados à parte na aba HOLERITE AGO.26.</t>
        </is>
      </c>
    </row>
    <row r="23" ht="26" customHeight="1">
      <c r="A23" s="25" t="inlineStr">
        <is>
          <t>SARA também vendeu R$ 365,03 pelo código dela na loja CENTRO, com R$ 2,65 de comissão. Esse valor foi somado à folha dela aqui, na linha COMPLEMENTO / COMISSÃO PDV.</t>
        </is>
      </c>
    </row>
    <row r="24" ht="26" customHeight="1">
      <c r="A24" s="25" t="inlineStr">
        <is>
          <t>DEAN não recebe comissão em folha: no caso dele a comissão apurada acima é apenas informativa. Os incentivos dele continuam sendo lançados normalmente.</t>
        </is>
      </c>
    </row>
    <row r="25" ht="26" customHeight="1">
      <c r="A25" s="25" t="inlineStr">
        <is>
          <t>JOEL: vendeu R$ 3.684,97 nos dias 01 e 02/08 e saiu de férias em 04/08 (retorno em 04/09) — daí a comissão de R$ 103,31. Constam ainda 2 itens de R$ 11,68 em 07/08 no código dele.</t>
        </is>
      </c>
    </row>
  </sheetData>
  <autoFilter ref="A4:J12"/>
  <mergeCells count="8">
    <mergeCell ref="A1:J1"/>
    <mergeCell ref="A23:J23"/>
    <mergeCell ref="A22:J22"/>
    <mergeCell ref="A21:J21"/>
    <mergeCell ref="A20:J20"/>
    <mergeCell ref="A24:J24"/>
    <mergeCell ref="A2:J2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62" customWidth="1" min="11" max="11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Competência AGOSTO/2026 (01/08 a 31/08/2026) · Pagamento em 05/09/2026 · Farmácia Tropical Multi Econômica</t>
        </is>
      </c>
    </row>
    <row r="4" ht="20" customHeight="1">
      <c r="A4" s="26" t="inlineStr">
        <is>
          <t>RUBRICA</t>
        </is>
      </c>
      <c r="B4" s="27" t="inlineStr">
        <is>
          <t>DEAN</t>
        </is>
      </c>
      <c r="C4" s="27" t="inlineStr">
        <is>
          <t>AGNOR</t>
        </is>
      </c>
      <c r="D4" s="27" t="inlineStr">
        <is>
          <t>EDEY</t>
        </is>
      </c>
      <c r="E4" s="27" t="inlineStr">
        <is>
          <t>JOEL</t>
        </is>
      </c>
      <c r="F4" s="27" t="inlineStr">
        <is>
          <t>VALÉRIA</t>
        </is>
      </c>
      <c r="G4" s="27" t="inlineStr">
        <is>
          <t>SARA</t>
        </is>
      </c>
      <c r="H4" s="27" t="inlineStr">
        <is>
          <t>CAMILA</t>
        </is>
      </c>
      <c r="I4" s="27" t="inlineStr">
        <is>
          <t>NATI</t>
        </is>
      </c>
      <c r="J4" s="27" t="inlineStr">
        <is>
          <t>TOTAL</t>
        </is>
      </c>
      <c r="K4" s="26" t="inlineStr">
        <is>
          <t>ORIGEM / OBSERVAÇÃO</t>
        </is>
      </c>
    </row>
    <row r="5" ht="20" customHeight="1">
      <c r="A5" s="28" t="inlineStr">
        <is>
          <t>PROVENTOS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30" t="inlineStr">
        <is>
          <t>SALÁRIO BASE</t>
        </is>
      </c>
      <c r="B6" s="31" t="n">
        <v>5648.41</v>
      </c>
      <c r="C6" s="31" t="n">
        <v>1621</v>
      </c>
      <c r="D6" s="31" t="n">
        <v>1621</v>
      </c>
      <c r="E6" s="31" t="n">
        <v>0</v>
      </c>
      <c r="F6" s="31" t="n">
        <v>1621</v>
      </c>
      <c r="G6" s="31" t="n">
        <v>1621</v>
      </c>
      <c r="H6" s="31" t="n">
        <v>1621</v>
      </c>
      <c r="I6" s="31" t="n">
        <v>1621</v>
      </c>
      <c r="J6" s="32">
        <f>SUM(B6:I6)</f>
        <v/>
      </c>
      <c r="K6" s="33" t="inlineStr">
        <is>
          <t>Piso 2026 R$ 1.621,00. CAMILA: admitida em jul/26 (salário proporcional naquele mês); agosto é o 1º mês completo. JOEL: zerado — trabalhou de 01 a 03/08 mas esses dias já estão dentro do recibo de férias (01 a 31/08); se a empresa decidir pagá-los à parte, lançar aqui.</t>
        </is>
      </c>
    </row>
    <row r="7">
      <c r="A7" s="30" t="inlineStr">
        <is>
          <t>ADICIONAL NOTURNO</t>
        </is>
      </c>
      <c r="B7" s="34">
        <f>SUMIFS('PONTO AGO.26'!$G$5:$G$20,'PONTO AGO.26'!$A$5:$A$20,B$4,'PONTO AGO.26'!$H$5:$H$20,"ADICIONAL NOTURNO")</f>
        <v/>
      </c>
      <c r="C7" s="34">
        <f>SUMIFS('PONTO AGO.26'!$G$5:$G$20,'PONTO AGO.26'!$A$5:$A$20,C$4,'PONTO AGO.26'!$H$5:$H$20,"ADICIONAL NOTURNO")</f>
        <v/>
      </c>
      <c r="D7" s="34">
        <f>SUMIFS('PONTO AGO.26'!$G$5:$G$20,'PONTO AGO.26'!$A$5:$A$20,D$4,'PONTO AGO.26'!$H$5:$H$20,"ADICIONAL NOTURNO")</f>
        <v/>
      </c>
      <c r="E7" s="34">
        <f>SUMIFS('PONTO AGO.26'!$G$5:$G$20,'PONTO AGO.26'!$A$5:$A$20,E$4,'PONTO AGO.26'!$H$5:$H$20,"ADICIONAL NOTURNO")</f>
        <v/>
      </c>
      <c r="F7" s="34">
        <f>SUMIFS('PONTO AGO.26'!$G$5:$G$20,'PONTO AGO.26'!$A$5:$A$20,F$4,'PONTO AGO.26'!$H$5:$H$20,"ADICIONAL NOTURNO")</f>
        <v/>
      </c>
      <c r="G7" s="34">
        <f>SUMIFS('PONTO AGO.26'!$G$5:$G$20,'PONTO AGO.26'!$A$5:$A$20,G$4,'PONTO AGO.26'!$H$5:$H$20,"ADICIONAL NOTURNO")</f>
        <v/>
      </c>
      <c r="H7" s="34">
        <f>SUMIFS('PONTO AGO.26'!$G$5:$G$20,'PONTO AGO.26'!$A$5:$A$20,H$4,'PONTO AGO.26'!$H$5:$H$20,"ADICIONAL NOTURNO")</f>
        <v/>
      </c>
      <c r="I7" s="34">
        <f>SUMIFS('PONTO AGO.26'!$G$5:$G$20,'PONTO AGO.26'!$A$5:$A$20,I$4,'PONTO AGO.26'!$H$5:$H$20,"ADICIONAL NOTURNO")</f>
        <v/>
      </c>
      <c r="J7" s="32">
        <f>SUM(B7:I7)</f>
        <v/>
      </c>
      <c r="K7" s="33" t="inlineStr">
        <is>
          <t>Somado automaticamente da aba PONTO AGO.26 (apontamento de agosto/2026). Para mudar, edite lá.</t>
        </is>
      </c>
    </row>
    <row r="8">
      <c r="A8" s="30" t="inlineStr">
        <is>
          <t>HORAS EXTRAS</t>
        </is>
      </c>
      <c r="B8" s="34">
        <f>SUMIFS('PONTO AGO.26'!$G$5:$G$20,'PONTO AGO.26'!$A$5:$A$20,B$4,'PONTO AGO.26'!$H$5:$H$20,"HORAS EXTRAS")</f>
        <v/>
      </c>
      <c r="C8" s="34">
        <f>SUMIFS('PONTO AGO.26'!$G$5:$G$20,'PONTO AGO.26'!$A$5:$A$20,C$4,'PONTO AGO.26'!$H$5:$H$20,"HORAS EXTRAS")</f>
        <v/>
      </c>
      <c r="D8" s="34">
        <f>SUMIFS('PONTO AGO.26'!$G$5:$G$20,'PONTO AGO.26'!$A$5:$A$20,D$4,'PONTO AGO.26'!$H$5:$H$20,"HORAS EXTRAS")</f>
        <v/>
      </c>
      <c r="E8" s="34">
        <f>SUMIFS('PONTO AGO.26'!$G$5:$G$20,'PONTO AGO.26'!$A$5:$A$20,E$4,'PONTO AGO.26'!$H$5:$H$20,"HORAS EXTRAS")</f>
        <v/>
      </c>
      <c r="F8" s="34">
        <f>SUMIFS('PONTO AGO.26'!$G$5:$G$20,'PONTO AGO.26'!$A$5:$A$20,F$4,'PONTO AGO.26'!$H$5:$H$20,"HORAS EXTRAS")</f>
        <v/>
      </c>
      <c r="G8" s="34">
        <f>SUMIFS('PONTO AGO.26'!$G$5:$G$20,'PONTO AGO.26'!$A$5:$A$20,G$4,'PONTO AGO.26'!$H$5:$H$20,"HORAS EXTRAS")</f>
        <v/>
      </c>
      <c r="H8" s="34">
        <f>SUMIFS('PONTO AGO.26'!$G$5:$G$20,'PONTO AGO.26'!$A$5:$A$20,H$4,'PONTO AGO.26'!$H$5:$H$20,"HORAS EXTRAS")</f>
        <v/>
      </c>
      <c r="I8" s="34">
        <f>SUMIFS('PONTO AGO.26'!$G$5:$G$20,'PONTO AGO.26'!$A$5:$A$20,I$4,'PONTO AGO.26'!$H$5:$H$20,"HORAS EXTRAS")</f>
        <v/>
      </c>
      <c r="J8" s="20">
        <f>SUM(B8:I8)</f>
        <v/>
      </c>
      <c r="K8" s="33" t="inlineStr">
        <is>
          <t>Somado automaticamente da aba PONTO AGO.26 (apontamento de agosto/2026). Para mudar, edite lá.</t>
        </is>
      </c>
    </row>
    <row r="9">
      <c r="A9" s="30" t="inlineStr">
        <is>
          <t>COMISSÃO PRODUTOS (INOVAFARMA)</t>
        </is>
      </c>
      <c r="B9" s="34" t="n">
        <v>0</v>
      </c>
      <c r="C9" s="34">
        <f>'BASE INOVAFARMA AGO.26'!F6</f>
        <v/>
      </c>
      <c r="D9" s="34">
        <f>'BASE INOVAFARMA AGO.26'!F7</f>
        <v/>
      </c>
      <c r="E9" s="34">
        <f>'BASE INOVAFARMA AGO.26'!F8</f>
        <v/>
      </c>
      <c r="F9" s="34">
        <f>'BASE INOVAFARMA AGO.26'!F9</f>
        <v/>
      </c>
      <c r="G9" s="34">
        <f>'BASE INOVAFARMA AGO.26'!F10</f>
        <v/>
      </c>
      <c r="H9" s="34">
        <f>'BASE INOVAFARMA AGO.26'!F11</f>
        <v/>
      </c>
      <c r="I9" s="34">
        <f>'BASE INOVAFARMA AGO.26'!F12</f>
        <v/>
      </c>
      <c r="J9" s="20">
        <f>SUM(B9:I9)</f>
        <v/>
      </c>
      <c r="K9" s="33" t="inlineStr">
        <is>
          <t>Apurado no InovaFarma (aba BASE INOVAFARMA AGO.26). JOEL: R$ 103,31 das vendas dele nos dias 01 e 02/08, antes de sair de férias em 04/08 (o recibo de férias saiu como 01 a 31/08). DEAN NÃO RECEBE COMISSÃO — lançado zero (o apurado dele fica só como informação na aba BASE). AGNOR: mantido o fixo de R$ 2.000,00 pela linha de complemento abaixo.</t>
        </is>
      </c>
    </row>
    <row r="10">
      <c r="A10" s="30" t="inlineStr">
        <is>
          <t>COMPLEMENTO / COMISSÃO PDV</t>
        </is>
      </c>
      <c r="B10" s="31" t="n"/>
      <c r="C10" s="31">
        <f>ROUND(PARÂMETROS!$B$19-C9,2)</f>
        <v/>
      </c>
      <c r="D10" s="31" t="n"/>
      <c r="E10" s="31" t="n"/>
      <c r="F10" s="31" t="n"/>
      <c r="G10" s="31" t="n">
        <v>2.65</v>
      </c>
      <c r="H10" s="31" t="n"/>
      <c r="I10" s="31" t="n"/>
      <c r="J10" s="32">
        <f>SUM(B10:I10)</f>
        <v/>
      </c>
      <c r="K10" s="33" t="inlineStr">
        <is>
          <t>AGNOR: complemento até a comissão fixa de R$ 2.000,00 (parâmetro na aba PARÂMETROS). SARA: R$ 2,65 de comissão apurada no código dela na loja CENTRO (venda bruta de R$ 365,03), trazida para a folha do Arraial. Demais: preencher com PDV antigos, se houver.</t>
        </is>
      </c>
    </row>
    <row r="11">
      <c r="A11" s="15">
        <f> COMISSÃO TOTAL</f>
        <v/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SUM(G9:G10)</f>
        <v/>
      </c>
      <c r="H11" s="20">
        <f>SUM(H9:H10)</f>
        <v/>
      </c>
      <c r="I11" s="20">
        <f>SUM(I9:I10)</f>
        <v/>
      </c>
      <c r="J11" s="20">
        <f>SUM(B11:I11)</f>
        <v/>
      </c>
      <c r="K11" s="33" t="inlineStr">
        <is>
          <t>Base do DSR junto com as horas extras.</t>
        </is>
      </c>
    </row>
    <row r="12">
      <c r="A12" s="30" t="inlineStr">
        <is>
          <t>REPOUSO REMUNERADO / DSR</t>
        </is>
      </c>
      <c r="B12" s="35">
        <f>ROUND((B11+B8)*PARÂMETROS!$B$12,2)</f>
        <v/>
      </c>
      <c r="C12" s="35">
        <f>ROUND((C11+C8)*PARÂMETROS!$B$12,2)</f>
        <v/>
      </c>
      <c r="D12" s="35">
        <f>ROUND((D11+D8)*PARÂMETROS!$B$12,2)</f>
        <v/>
      </c>
      <c r="E12" s="35">
        <f>ROUND((E11+E8)*PARÂMETROS!$B$12,2)</f>
        <v/>
      </c>
      <c r="F12" s="35">
        <f>ROUND((F11+F8)*PARÂMETROS!$B$12,2)</f>
        <v/>
      </c>
      <c r="G12" s="35">
        <f>ROUND((G11+G8)*PARÂMETROS!$B$12,2)</f>
        <v/>
      </c>
      <c r="H12" s="35">
        <f>ROUND((H11+H8)*PARÂMETROS!$B$12,2)</f>
        <v/>
      </c>
      <c r="I12" s="35">
        <f>ROUND((I11+I8)*PARÂMETROS!$B$12,2)</f>
        <v/>
      </c>
      <c r="J12" s="20">
        <f>SUM(B12:I12)</f>
        <v/>
      </c>
      <c r="K12" s="33">
        <f> (comissão total + horas extras) × 5 domingos ÷ 26 dias úteis de agosto/2026 (fator na aba PARÂMETROS).</f>
        <v/>
      </c>
    </row>
    <row r="13">
      <c r="A13" s="30" t="inlineStr">
        <is>
          <t>AUXÍLIO GERÊNCIA</t>
        </is>
      </c>
      <c r="B13" s="31" t="n"/>
      <c r="C13" s="31" t="n">
        <v>810.5</v>
      </c>
      <c r="D13" s="31" t="n"/>
      <c r="E13" s="31" t="n"/>
      <c r="F13" s="31" t="n"/>
      <c r="G13" s="31" t="n">
        <v>810.5</v>
      </c>
      <c r="H13" s="31" t="n"/>
      <c r="I13" s="31" t="n"/>
      <c r="J13" s="32">
        <f>SUM(B13:I13)</f>
        <v/>
      </c>
      <c r="K13" s="33" t="inlineStr">
        <is>
          <t>AGNOR e SARA — valor recorrente de jul/26.</t>
        </is>
      </c>
    </row>
    <row r="14">
      <c r="A14" s="30" t="inlineStr">
        <is>
          <t>ADICIONAL PRÊMIO META CAIXA</t>
        </is>
      </c>
      <c r="B14" s="31" t="n"/>
      <c r="C14" s="31" t="n"/>
      <c r="D14" s="31" t="n"/>
      <c r="E14" s="31" t="n"/>
      <c r="F14" s="31" t="n">
        <v>307.99</v>
      </c>
      <c r="G14" s="31" t="n"/>
      <c r="H14" s="31" t="n"/>
      <c r="I14" s="31" t="n">
        <v>307.99</v>
      </c>
      <c r="J14" s="32">
        <f>SUM(B14:I14)</f>
        <v/>
      </c>
      <c r="K14" s="33" t="inlineStr">
        <is>
          <t>VALÉRIA e NATI — valor recorrente de jul/26; confirmar se a meta foi batida em agosto.</t>
        </is>
      </c>
    </row>
    <row r="15">
      <c r="A15" s="30" t="inlineStr">
        <is>
          <t>PRÊMIO COTA GERAL</t>
        </is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20">
        <f>SUM(B15:I15)</f>
        <v/>
      </c>
      <c r="K15" s="33" t="inlineStr">
        <is>
          <t>PREENCHER conforme apuração de metas de agosto.</t>
        </is>
      </c>
    </row>
    <row r="16">
      <c r="A16" s="30" t="inlineStr">
        <is>
          <t>PRÊMIO PRÉ-VENCIDOS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20">
        <f>SUM(B16:I16)</f>
        <v/>
      </c>
      <c r="K16" s="33" t="inlineStr">
        <is>
          <t>PREENCHER conforme apuração de pré-vencidos de agosto.</t>
        </is>
      </c>
    </row>
    <row r="17">
      <c r="A17" s="30" t="inlineStr">
        <is>
          <t>FÉRIAS (DIAS GOZADOS)</t>
        </is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2">
        <f>SUM(B17:I17)</f>
        <v/>
      </c>
      <c r="K17" s="33" t="inlineStr">
        <is>
          <t>JOEL: recibo de férias de 01 a 31/08/2026, JÁ PAGO no início de agosto — NÃO lançar de novo aqui. Pelo acordo interno ele saiu em 04/08 e volta em 04/09.</t>
        </is>
      </c>
    </row>
    <row r="18">
      <c r="A18" s="30" t="inlineStr">
        <is>
          <t>1/3 CONSTITUCIONAL DE FÉRIAS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2">
        <f>SUM(B18:I18)</f>
        <v/>
      </c>
      <c r="K18" s="33" t="inlineStr">
        <is>
          <t>JOEL: também já pago com as férias no início de agosto. Linha mantida para eventuais férias de outros meses.</t>
        </is>
      </c>
    </row>
    <row r="19">
      <c r="A19" s="30" t="inlineStr">
        <is>
          <t>INCENTIVO APLICAÇÕES</t>
        </is>
      </c>
      <c r="B19" s="34">
        <f>'BASE INOVAFARMA AGO.26'!G5</f>
        <v/>
      </c>
      <c r="C19" s="34">
        <f>'BASE INOVAFARMA AGO.26'!G6</f>
        <v/>
      </c>
      <c r="D19" s="34">
        <f>'BASE INOVAFARMA AGO.26'!G7</f>
        <v/>
      </c>
      <c r="E19" s="34">
        <f>'BASE INOVAFARMA AGO.26'!G8</f>
        <v/>
      </c>
      <c r="F19" s="34">
        <f>'BASE INOVAFARMA AGO.26'!G9</f>
        <v/>
      </c>
      <c r="G19" s="34">
        <f>'BASE INOVAFARMA AGO.26'!G10</f>
        <v/>
      </c>
      <c r="H19" s="34">
        <f>'BASE INOVAFARMA AGO.26'!G11</f>
        <v/>
      </c>
      <c r="I19" s="34">
        <f>'BASE INOVAFARMA AGO.26'!G12</f>
        <v/>
      </c>
      <c r="J19" s="20">
        <f>SUM(B19:I19)</f>
        <v/>
      </c>
      <c r="K19" s="33" t="inlineStr">
        <is>
          <t>Incentivo de injetáveis apurado no InovaFarma.</t>
        </is>
      </c>
    </row>
    <row r="20">
      <c r="A20" s="30" t="inlineStr">
        <is>
          <t>INCENTIVO VITAMINAS</t>
        </is>
      </c>
      <c r="B20" s="34">
        <f>'BASE INOVAFARMA AGO.26'!H5</f>
        <v/>
      </c>
      <c r="C20" s="34">
        <f>'BASE INOVAFARMA AGO.26'!H6</f>
        <v/>
      </c>
      <c r="D20" s="34">
        <f>'BASE INOVAFARMA AGO.26'!H7</f>
        <v/>
      </c>
      <c r="E20" s="34">
        <f>'BASE INOVAFARMA AGO.26'!H8</f>
        <v/>
      </c>
      <c r="F20" s="34">
        <f>'BASE INOVAFARMA AGO.26'!H9</f>
        <v/>
      </c>
      <c r="G20" s="34">
        <f>'BASE INOVAFARMA AGO.26'!H10</f>
        <v/>
      </c>
      <c r="H20" s="34">
        <f>'BASE INOVAFARMA AGO.26'!H11</f>
        <v/>
      </c>
      <c r="I20" s="34">
        <f>'BASE INOVAFARMA AGO.26'!H12</f>
        <v/>
      </c>
      <c r="J20" s="20">
        <f>SUM(B20:I20)</f>
        <v/>
      </c>
      <c r="K20" s="33" t="inlineStr">
        <is>
          <t>Grupo APLICAÇÃO E VITAMINAS INCENTIVO no InovaFarma.</t>
        </is>
      </c>
    </row>
    <row r="21">
      <c r="A21" s="30" t="inlineStr">
        <is>
          <t>OUTROS INCENTIVOS</t>
        </is>
      </c>
      <c r="B21" s="34">
        <f>'BASE INOVAFARMA AGO.26'!I5</f>
        <v/>
      </c>
      <c r="C21" s="34">
        <f>'BASE INOVAFARMA AGO.26'!I6</f>
        <v/>
      </c>
      <c r="D21" s="34">
        <f>'BASE INOVAFARMA AGO.26'!I7</f>
        <v/>
      </c>
      <c r="E21" s="34">
        <f>'BASE INOVAFARMA AGO.26'!I8</f>
        <v/>
      </c>
      <c r="F21" s="34">
        <f>'BASE INOVAFARMA AGO.26'!I9</f>
        <v/>
      </c>
      <c r="G21" s="34">
        <f>'BASE INOVAFARMA AGO.26'!I10</f>
        <v/>
      </c>
      <c r="H21" s="34">
        <f>'BASE INOVAFARMA AGO.26'!I11</f>
        <v/>
      </c>
      <c r="I21" s="34">
        <f>'BASE INOVAFARMA AGO.26'!I12</f>
        <v/>
      </c>
      <c r="J21" s="20">
        <f>SUM(B21:I21)</f>
        <v/>
      </c>
      <c r="K21" s="33" t="inlineStr">
        <is>
          <t>Populares, oficinais e similar normal.</t>
        </is>
      </c>
    </row>
    <row r="22">
      <c r="A22" s="15" t="inlineStr">
        <is>
          <t>TOTAL DE PROVENTOS</t>
        </is>
      </c>
      <c r="B22" s="20">
        <f>SUM(B6:B21)-B9-B10</f>
        <v/>
      </c>
      <c r="C22" s="20">
        <f>SUM(C6:C21)-C9-C10</f>
        <v/>
      </c>
      <c r="D22" s="20">
        <f>SUM(D6:D21)-D9-D10</f>
        <v/>
      </c>
      <c r="E22" s="20">
        <f>SUM(E6:E21)-E9-E10</f>
        <v/>
      </c>
      <c r="F22" s="20">
        <f>SUM(F6:F21)-F9-F10</f>
        <v/>
      </c>
      <c r="G22" s="20">
        <f>SUM(G6:G21)-G9-G10</f>
        <v/>
      </c>
      <c r="H22" s="20">
        <f>SUM(H6:H21)-H9-H10</f>
        <v/>
      </c>
      <c r="I22" s="20">
        <f>SUM(I6:I21)-I9-I10</f>
        <v/>
      </c>
      <c r="J22" s="20">
        <f>SUM(B22:I22)</f>
        <v/>
      </c>
      <c r="K22" s="33" t="inlineStr">
        <is>
          <t>Soma das rubricas acima (a linha COMISSÃO TOTAL já engloba comissão InovaFarma + complemento PDV).</t>
        </is>
      </c>
    </row>
    <row r="23" ht="20" customHeight="1">
      <c r="A23" s="28" t="inlineStr">
        <is>
          <t>DESCONTOS  (lançar com sinal negativo)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>
      <c r="A24" s="30" t="inlineStr">
        <is>
          <t>ADIANTAMENTO / VALES</t>
        </is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20">
        <f>SUM(B24:I24)</f>
        <v/>
      </c>
      <c r="K24" s="33" t="inlineStr">
        <is>
          <t>PREENCHER com os vales adiantados durante agosto.</t>
        </is>
      </c>
    </row>
    <row r="25">
      <c r="A25" s="30" t="inlineStr">
        <is>
          <t>ADIANT. VALES INCENT. E APLIC.</t>
        </is>
      </c>
      <c r="B25" s="37">
        <f>-(B19+B20+B21)</f>
        <v/>
      </c>
      <c r="C25" s="37">
        <f>-(C19+C20+C21)</f>
        <v/>
      </c>
      <c r="D25" s="37">
        <f>-(D19+D20+D21)</f>
        <v/>
      </c>
      <c r="E25" s="37">
        <f>-(E19+E20+E21)</f>
        <v/>
      </c>
      <c r="F25" s="37">
        <f>-(F19+F20+F21)</f>
        <v/>
      </c>
      <c r="G25" s="37">
        <f>-(G19+G20+G21)</f>
        <v/>
      </c>
      <c r="H25" s="37">
        <f>-(H19+H20+H21)</f>
        <v/>
      </c>
      <c r="I25" s="37">
        <f>-(I19+I20+I21)</f>
        <v/>
      </c>
      <c r="J25" s="32">
        <f>SUM(B25:I25)</f>
        <v/>
      </c>
      <c r="K25" s="33" t="inlineStr">
        <is>
          <t>Estorno dos incentivos já adiantados em dinheiro no mês (mesmo critério de jul/26). AJUSTAR se algum incentivo não foi adiantado.</t>
        </is>
      </c>
    </row>
    <row r="26">
      <c r="A26" s="30" t="inlineStr">
        <is>
          <t>CONVÊNIO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20">
        <f>SUM(B26:I26)</f>
        <v/>
      </c>
      <c r="K26" s="33" t="inlineStr">
        <is>
          <t>PREENCHER (jul/26: AGNOR -300, JOEL -500, VALÉRIA -300, SARA -300).</t>
        </is>
      </c>
    </row>
    <row r="27">
      <c r="A27" s="30" t="inlineStr">
        <is>
          <t>DESCONTO FALTAS / ATRASOS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20">
        <f>SUM(B27:I27)</f>
        <v/>
      </c>
      <c r="K27" s="33" t="inlineStr">
        <is>
          <t>PREENCHER conforme o ponto.</t>
        </is>
      </c>
    </row>
    <row r="28">
      <c r="A28" s="30" t="inlineStr">
        <is>
          <t>DESCONTO VALE TRANSPORTE 6%</t>
        </is>
      </c>
      <c r="B28" s="31" t="n"/>
      <c r="C28" s="31" t="n"/>
      <c r="D28" s="31" t="n">
        <v>-84.29000000000001</v>
      </c>
      <c r="E28" s="31" t="n"/>
      <c r="F28" s="31" t="n">
        <v>-84.29000000000001</v>
      </c>
      <c r="G28" s="31" t="n"/>
      <c r="H28" s="31" t="n"/>
      <c r="I28" s="31" t="n">
        <v>-84.29000000000001</v>
      </c>
      <c r="J28" s="32">
        <f>SUM(B28:I28)</f>
        <v/>
      </c>
      <c r="K28" s="33" t="inlineStr">
        <is>
          <t>Valor praticado em jul/26. 6% sobre R$ 1.621,00 seria R$ 97,26 — CONFERIR a base usada. JOEL: zerado, mês de férias.</t>
        </is>
      </c>
    </row>
    <row r="29">
      <c r="A29" s="30" t="inlineStr">
        <is>
          <t>DESCONTO INSS</t>
        </is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20">
        <f>SUM(B29:I29)</f>
        <v/>
      </c>
      <c r="K29" s="33" t="inlineStr">
        <is>
          <t>A CALCULAR PELA CONTABILIDADE sobre o total de proventos (tabela progressiva vigente).</t>
        </is>
      </c>
    </row>
    <row r="30">
      <c r="A30" s="30" t="inlineStr">
        <is>
          <t>DESCONTO IRRF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20">
        <f>SUM(B30:I30)</f>
        <v/>
      </c>
      <c r="K30" s="33" t="inlineStr">
        <is>
          <t>A CALCULAR PELA CONTABILIDADE.</t>
        </is>
      </c>
    </row>
    <row r="31">
      <c r="A31" s="15" t="inlineStr">
        <is>
          <t>TOTAL DE DESCONTOS</t>
        </is>
      </c>
      <c r="B31" s="20">
        <f>SUM(B24:B30)</f>
        <v/>
      </c>
      <c r="C31" s="20">
        <f>SUM(C24:C30)</f>
        <v/>
      </c>
      <c r="D31" s="20">
        <f>SUM(D24:D30)</f>
        <v/>
      </c>
      <c r="E31" s="20">
        <f>SUM(E24:E30)</f>
        <v/>
      </c>
      <c r="F31" s="20">
        <f>SUM(F24:F30)</f>
        <v/>
      </c>
      <c r="G31" s="20">
        <f>SUM(G24:G30)</f>
        <v/>
      </c>
      <c r="H31" s="20">
        <f>SUM(H24:H30)</f>
        <v/>
      </c>
      <c r="I31" s="20">
        <f>SUM(I24:I30)</f>
        <v/>
      </c>
      <c r="J31" s="20">
        <f>SUM(B31:I31)</f>
        <v/>
      </c>
      <c r="K31" s="33" t="inlineStr"/>
    </row>
    <row r="32" ht="20" customHeight="1">
      <c r="A32" s="28" t="inlineStr">
        <is>
          <t>LÍQUIDO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s="15" t="inlineStr">
        <is>
          <t>LÍQUIDO A RECEBER (05/09/2026)</t>
        </is>
      </c>
      <c r="B33" s="38">
        <f>B22+B31</f>
        <v/>
      </c>
      <c r="C33" s="38">
        <f>C22+C31</f>
        <v/>
      </c>
      <c r="D33" s="38">
        <f>D22+D31</f>
        <v/>
      </c>
      <c r="E33" s="38">
        <f>E22+E31</f>
        <v/>
      </c>
      <c r="F33" s="38">
        <f>F22+F31</f>
        <v/>
      </c>
      <c r="G33" s="38">
        <f>G22+G31</f>
        <v/>
      </c>
      <c r="H33" s="38">
        <f>H22+H31</f>
        <v/>
      </c>
      <c r="I33" s="38">
        <f>I22+I31</f>
        <v/>
      </c>
      <c r="J33" s="38">
        <f>SUM(B33:I33)</f>
        <v/>
      </c>
      <c r="K33" s="33" t="inlineStr">
        <is>
          <t>Total de proventos menos descontos. Só fica definitivo depois do INSS/IRRF da contabilidade.</t>
        </is>
      </c>
    </row>
    <row r="34" ht="20" customHeight="1">
      <c r="A34" s="28" t="inlineStr">
        <is>
          <t>INFORMATIVO — PAGO PELA EMPRESA, NÃO ENTRA NO HOLERITE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s="30" t="inlineStr">
        <is>
          <t>VALE TRANSPORTE (compra set/26)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20">
        <f>SUM(B35:I35)</f>
        <v/>
      </c>
      <c r="K35" s="33" t="inlineStr">
        <is>
          <t>PREENCHER com as passagens compradas para setembro/2026. JOEL: só a partir de 04/09, quando volta das férias.</t>
        </is>
      </c>
    </row>
    <row r="36">
      <c r="A36" s="30" t="inlineStr">
        <is>
          <t>VALE ALIMENTAÇÃO FERIADOS E DOMINGOS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20">
        <f>SUM(B36:I36)</f>
        <v/>
      </c>
      <c r="K36" s="33" t="inlineStr">
        <is>
          <t>PREENCHER conforme escala de domingos/feriados de agosto.</t>
        </is>
      </c>
    </row>
    <row r="38">
      <c r="A38" s="21" t="inlineStr">
        <is>
          <t>LEGENDA</t>
        </is>
      </c>
      <c r="B38" s="7" t="inlineStr"/>
    </row>
    <row r="39">
      <c r="A39" s="21" t="inlineStr">
        <is>
          <t>Célula amarela, texto azul</t>
        </is>
      </c>
      <c r="B39" s="7" t="inlineStr">
        <is>
          <t>valor digitado — PREENCHER ou conferir antes de enviar.</t>
        </is>
      </c>
    </row>
    <row r="40">
      <c r="A40" s="21" t="inlineStr">
        <is>
          <t>Célula laranja</t>
        </is>
      </c>
      <c r="B40" s="7" t="inlineStr">
        <is>
          <t>valor repetido de julho/2026 — CONFERIR se continua válido em agosto.</t>
        </is>
      </c>
    </row>
    <row r="41">
      <c r="A41" s="21" t="inlineStr">
        <is>
          <t>Texto verde</t>
        </is>
      </c>
      <c r="B41" s="7" t="inlineStr">
        <is>
          <t>valor puxado da aba BASE INOVAFARMA AGO.26 (não digitar por cima).</t>
        </is>
      </c>
    </row>
    <row r="42">
      <c r="A42" s="21" t="inlineStr">
        <is>
          <t>Texto preto em célula verde</t>
        </is>
      </c>
      <c r="B42" s="7" t="inlineStr">
        <is>
          <t>resultado de fórmula — não alterar.</t>
        </is>
      </c>
    </row>
  </sheetData>
  <autoFilter ref="A4:K36"/>
  <mergeCells count="7">
    <mergeCell ref="B41:K41"/>
    <mergeCell ref="B40:K40"/>
    <mergeCell ref="A2:K2"/>
    <mergeCell ref="B39:K39"/>
    <mergeCell ref="B38:K38"/>
    <mergeCell ref="B42:K4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62" customWidth="1" min="11" max="11"/>
  </cols>
  <sheetData>
    <row r="1" ht="26" customHeight="1">
      <c r="A1" s="1" t="inlineStr">
        <is>
          <t>FOLHA REVISADA — COMPETÊNCIA JULHO/2026 (paga em 05/08/2026)</t>
        </is>
      </c>
    </row>
    <row r="2" ht="18" customHeight="1">
      <c r="A2" s="2" t="inlineStr">
        <is>
          <t>Mesmos valores efetivamente pagos, reorganizados e com fórmulas conferidas · confronto com o cálculo correto do DSR</t>
        </is>
      </c>
    </row>
    <row r="4" ht="20" customHeight="1">
      <c r="A4" s="26" t="inlineStr">
        <is>
          <t>RUBRICA</t>
        </is>
      </c>
      <c r="B4" s="27" t="inlineStr">
        <is>
          <t>DEAN</t>
        </is>
      </c>
      <c r="C4" s="27" t="inlineStr">
        <is>
          <t>AGNOR</t>
        </is>
      </c>
      <c r="D4" s="27" t="inlineStr">
        <is>
          <t>EDEY</t>
        </is>
      </c>
      <c r="E4" s="27" t="inlineStr">
        <is>
          <t>JOEL</t>
        </is>
      </c>
      <c r="F4" s="27" t="inlineStr">
        <is>
          <t>VALÉRIA</t>
        </is>
      </c>
      <c r="G4" s="27" t="inlineStr">
        <is>
          <t>SARA</t>
        </is>
      </c>
      <c r="H4" s="27" t="inlineStr">
        <is>
          <t>CAMILA</t>
        </is>
      </c>
      <c r="I4" s="27" t="inlineStr">
        <is>
          <t>NATI</t>
        </is>
      </c>
      <c r="J4" s="27" t="inlineStr">
        <is>
          <t>TOTAL</t>
        </is>
      </c>
      <c r="K4" s="26" t="inlineStr">
        <is>
          <t>ORIGEM / OBSERVAÇÃO</t>
        </is>
      </c>
    </row>
    <row r="5" ht="20" customHeight="1">
      <c r="A5" s="28" t="inlineStr">
        <is>
          <t>PROVENTOS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30" t="inlineStr">
        <is>
          <t>SALÁRIO BASE</t>
        </is>
      </c>
      <c r="B6" s="36" t="n">
        <v>5648.41</v>
      </c>
      <c r="C6" s="36" t="n">
        <v>1621</v>
      </c>
      <c r="D6" s="36" t="n">
        <v>1621</v>
      </c>
      <c r="E6" s="36" t="n">
        <v>1621</v>
      </c>
      <c r="F6" s="36" t="n">
        <v>1621</v>
      </c>
      <c r="G6" s="36" t="n">
        <v>1621</v>
      </c>
      <c r="H6" s="36" t="n">
        <v>595</v>
      </c>
      <c r="I6" s="36" t="n">
        <v>1621</v>
      </c>
      <c r="J6" s="20">
        <f>SUM(B6:I6)</f>
        <v/>
      </c>
      <c r="K6" s="33" t="inlineStr">
        <is>
          <t>CAMILA proporcional (admissão no mês).</t>
        </is>
      </c>
    </row>
    <row r="7">
      <c r="A7" s="30" t="inlineStr">
        <is>
          <t>ADICIONAL NOTURNO</t>
        </is>
      </c>
      <c r="B7" s="36" t="n"/>
      <c r="C7" s="36" t="n"/>
      <c r="D7" s="36" t="n">
        <v>350</v>
      </c>
      <c r="E7" s="36" t="n"/>
      <c r="F7" s="36" t="n"/>
      <c r="G7" s="36" t="n"/>
      <c r="H7" s="36" t="n"/>
      <c r="I7" s="36" t="n"/>
      <c r="J7" s="20">
        <f>SUM(B7:I7)</f>
        <v/>
      </c>
      <c r="K7" s="33" t="inlineStr"/>
    </row>
    <row r="8">
      <c r="A8" s="30" t="inlineStr">
        <is>
          <t>HORAS EXTRAS</t>
        </is>
      </c>
      <c r="B8" s="36" t="n"/>
      <c r="C8" s="36" t="n"/>
      <c r="D8" s="36" t="n">
        <v>442.09</v>
      </c>
      <c r="E8" s="36" t="n"/>
      <c r="F8" s="36" t="n"/>
      <c r="G8" s="36" t="n"/>
      <c r="H8" s="36" t="n"/>
      <c r="I8" s="36" t="n">
        <v>221.05</v>
      </c>
      <c r="J8" s="20">
        <f>SUM(B8:I8)</f>
        <v/>
      </c>
      <c r="K8" s="33" t="inlineStr">
        <is>
          <t>Valor lançado na folha. O DSR foi calculado sobre o dobro deste valor — verificar qual é o valor correto das horas extras.</t>
        </is>
      </c>
    </row>
    <row r="9">
      <c r="A9" s="30" t="inlineStr">
        <is>
          <t>COMISSÃO PRODUTOS + PDV</t>
        </is>
      </c>
      <c r="B9" s="36" t="n"/>
      <c r="C9" s="36" t="n">
        <v>2000</v>
      </c>
      <c r="D9" s="36" t="n">
        <v>1202</v>
      </c>
      <c r="E9" s="36" t="n">
        <v>1693.68</v>
      </c>
      <c r="F9" s="36" t="n">
        <v>1071</v>
      </c>
      <c r="G9" s="36" t="n">
        <v>345</v>
      </c>
      <c r="H9" s="36" t="n">
        <v>120</v>
      </c>
      <c r="I9" s="36" t="n">
        <v>280</v>
      </c>
      <c r="J9" s="20">
        <f>SUM(B9:I9)</f>
        <v/>
      </c>
      <c r="K9" s="33" t="inlineStr">
        <is>
          <t>Comissão do InovaFarma somada aos PDV antigos.</t>
        </is>
      </c>
    </row>
    <row r="10">
      <c r="A10" s="30" t="inlineStr">
        <is>
          <t>REPOUSO REMUNERADO / DSR</t>
        </is>
      </c>
      <c r="B10" s="36" t="n"/>
      <c r="C10" s="36" t="n">
        <v>384.62</v>
      </c>
      <c r="D10" s="36" t="n">
        <v>401.19</v>
      </c>
      <c r="E10" s="36" t="n">
        <v>325.71</v>
      </c>
      <c r="F10" s="36" t="n">
        <v>205.96</v>
      </c>
      <c r="G10" s="36" t="n">
        <v>66.34999999999999</v>
      </c>
      <c r="H10" s="36" t="n"/>
      <c r="I10" s="36" t="n">
        <v>138.87</v>
      </c>
      <c r="J10" s="20">
        <f>SUM(B10:I10)</f>
        <v/>
      </c>
      <c r="K10" s="33" t="inlineStr">
        <is>
          <t>Pago com fator 5/26 = 0,192307 (calendário de AGOSTO). Julho/2026 tem 4 domingos e 27 dias úteis → fator correto 0,148148. Ver conferência abaixo.</t>
        </is>
      </c>
    </row>
    <row r="11">
      <c r="A11" s="30" t="inlineStr">
        <is>
          <t>AUXÍLIO GERÊNCIA</t>
        </is>
      </c>
      <c r="B11" s="36" t="n"/>
      <c r="C11" s="36" t="n">
        <v>810.5</v>
      </c>
      <c r="D11" s="36" t="n"/>
      <c r="E11" s="36" t="n"/>
      <c r="F11" s="36" t="n"/>
      <c r="G11" s="36" t="n">
        <v>810.5</v>
      </c>
      <c r="H11" s="36" t="n"/>
      <c r="I11" s="36" t="n"/>
      <c r="J11" s="20">
        <f>SUM(B11:I11)</f>
        <v/>
      </c>
      <c r="K11" s="33" t="inlineStr"/>
    </row>
    <row r="12">
      <c r="A12" s="30" t="inlineStr">
        <is>
          <t>ADICIONAL PRÊMIO META CAIXA</t>
        </is>
      </c>
      <c r="B12" s="36" t="n"/>
      <c r="C12" s="36" t="n"/>
      <c r="D12" s="36" t="n"/>
      <c r="E12" s="36" t="n"/>
      <c r="F12" s="36" t="n">
        <v>307.99</v>
      </c>
      <c r="G12" s="36" t="n"/>
      <c r="H12" s="36" t="n"/>
      <c r="I12" s="36" t="n">
        <v>307.99</v>
      </c>
      <c r="J12" s="20">
        <f>SUM(B12:I12)</f>
        <v/>
      </c>
      <c r="K12" s="33" t="inlineStr"/>
    </row>
    <row r="13">
      <c r="A13" s="30" t="inlineStr">
        <is>
          <t>PRÊMIO COTA GERAL</t>
        </is>
      </c>
      <c r="B13" s="36" t="n"/>
      <c r="C13" s="36" t="n"/>
      <c r="D13" s="36" t="n">
        <v>250</v>
      </c>
      <c r="E13" s="36" t="n">
        <v>250</v>
      </c>
      <c r="F13" s="36" t="n">
        <v>250</v>
      </c>
      <c r="G13" s="36" t="n">
        <v>150</v>
      </c>
      <c r="H13" s="36" t="n"/>
      <c r="I13" s="36" t="n">
        <v>150</v>
      </c>
      <c r="J13" s="20">
        <f>SUM(B13:I13)</f>
        <v/>
      </c>
      <c r="K13" s="33" t="inlineStr"/>
    </row>
    <row r="14">
      <c r="A14" s="30" t="inlineStr">
        <is>
          <t>PRÊMIO PRÉ-VENCIDOS</t>
        </is>
      </c>
      <c r="B14" s="36" t="n"/>
      <c r="C14" s="36" t="n"/>
      <c r="D14" s="36" t="n">
        <v>100</v>
      </c>
      <c r="E14" s="36" t="n">
        <v>200</v>
      </c>
      <c r="F14" s="36" t="n">
        <v>250</v>
      </c>
      <c r="G14" s="36" t="n">
        <v>100</v>
      </c>
      <c r="H14" s="36" t="n"/>
      <c r="I14" s="36" t="n">
        <v>100</v>
      </c>
      <c r="J14" s="20">
        <f>SUM(B14:I14)</f>
        <v/>
      </c>
      <c r="K14" s="33" t="inlineStr"/>
    </row>
    <row r="15">
      <c r="A15" s="30" t="inlineStr">
        <is>
          <t>INCENTIVO APLICAÇÕES</t>
        </is>
      </c>
      <c r="B15" s="36" t="n"/>
      <c r="C15" s="36" t="n">
        <v>264</v>
      </c>
      <c r="D15" s="36" t="n">
        <v>100</v>
      </c>
      <c r="E15" s="36" t="n">
        <v>290</v>
      </c>
      <c r="F15" s="36" t="n">
        <v>292</v>
      </c>
      <c r="G15" s="36" t="n"/>
      <c r="H15" s="36" t="n"/>
      <c r="I15" s="36" t="n"/>
      <c r="J15" s="20">
        <f>SUM(B15:I15)</f>
        <v/>
      </c>
      <c r="K15" s="33" t="inlineStr"/>
    </row>
    <row r="16">
      <c r="A16" s="30" t="inlineStr">
        <is>
          <t>INCENTIVO VITAMINAS</t>
        </is>
      </c>
      <c r="B16" s="36" t="n"/>
      <c r="C16" s="36" t="n"/>
      <c r="D16" s="36" t="n"/>
      <c r="E16" s="36" t="n"/>
      <c r="F16" s="36" t="n">
        <v>40</v>
      </c>
      <c r="G16" s="36" t="n"/>
      <c r="H16" s="36" t="n"/>
      <c r="I16" s="36" t="n"/>
      <c r="J16" s="20">
        <f>SUM(B16:I16)</f>
        <v/>
      </c>
      <c r="K16" s="33" t="inlineStr"/>
    </row>
    <row r="17">
      <c r="A17" s="15" t="inlineStr">
        <is>
          <t>TOTAL DE PROVENTOS</t>
        </is>
      </c>
      <c r="B17" s="20">
        <f>SUM(B6:B16)</f>
        <v/>
      </c>
      <c r="C17" s="20">
        <f>SUM(C6:C16)</f>
        <v/>
      </c>
      <c r="D17" s="20">
        <f>SUM(D6:D16)</f>
        <v/>
      </c>
      <c r="E17" s="20">
        <f>SUM(E6:E16)</f>
        <v/>
      </c>
      <c r="F17" s="20">
        <f>SUM(F6:F16)</f>
        <v/>
      </c>
      <c r="G17" s="20">
        <f>SUM(G6:G16)</f>
        <v/>
      </c>
      <c r="H17" s="20">
        <f>SUM(H6:H16)</f>
        <v/>
      </c>
      <c r="I17" s="20">
        <f>SUM(I6:I16)</f>
        <v/>
      </c>
      <c r="J17" s="20">
        <f>SUM(B17:I17)</f>
        <v/>
      </c>
      <c r="K17" s="33" t="inlineStr"/>
    </row>
    <row r="18" ht="20" customHeight="1">
      <c r="A18" s="28" t="inlineStr">
        <is>
          <t>DESCONTOS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</row>
    <row r="19">
      <c r="A19" s="30" t="inlineStr">
        <is>
          <t>ADIANTAMENTO / VALES</t>
        </is>
      </c>
      <c r="B19" s="36" t="n"/>
      <c r="C19" s="36" t="n">
        <v>-2300</v>
      </c>
      <c r="D19" s="36" t="n">
        <v>-1500</v>
      </c>
      <c r="E19" s="36" t="n">
        <v>-1300</v>
      </c>
      <c r="F19" s="36" t="n">
        <v>-1300</v>
      </c>
      <c r="G19" s="36" t="n">
        <v>-1200</v>
      </c>
      <c r="H19" s="36" t="n"/>
      <c r="I19" s="36" t="n"/>
      <c r="J19" s="20">
        <f>SUM(B19:I19)</f>
        <v/>
      </c>
      <c r="K19" s="33" t="inlineStr"/>
    </row>
    <row r="20">
      <c r="A20" s="30" t="inlineStr">
        <is>
          <t>ADIANT. VALES INCENT. E APLIC.</t>
        </is>
      </c>
      <c r="B20" s="36" t="n"/>
      <c r="C20" s="36" t="n">
        <v>-264</v>
      </c>
      <c r="D20" s="36" t="n">
        <v>-100</v>
      </c>
      <c r="E20" s="36" t="n">
        <v>-290</v>
      </c>
      <c r="F20" s="36" t="n">
        <v>-332</v>
      </c>
      <c r="G20" s="36" t="n"/>
      <c r="H20" s="36" t="n"/>
      <c r="I20" s="36" t="n"/>
      <c r="J20" s="20">
        <f>SUM(B20:I20)</f>
        <v/>
      </c>
      <c r="K20" s="33" t="inlineStr"/>
    </row>
    <row r="21">
      <c r="A21" s="30" t="inlineStr">
        <is>
          <t>CONVÊNIO</t>
        </is>
      </c>
      <c r="B21" s="36" t="n"/>
      <c r="C21" s="36" t="n">
        <v>-300</v>
      </c>
      <c r="D21" s="36" t="n"/>
      <c r="E21" s="36" t="n">
        <v>-500</v>
      </c>
      <c r="F21" s="36" t="n">
        <v>-300</v>
      </c>
      <c r="G21" s="36" t="n">
        <v>-300</v>
      </c>
      <c r="H21" s="36" t="n"/>
      <c r="I21" s="36" t="n"/>
      <c r="J21" s="20">
        <f>SUM(B21:I21)</f>
        <v/>
      </c>
      <c r="K21" s="33" t="inlineStr"/>
    </row>
    <row r="22">
      <c r="A22" s="30" t="inlineStr">
        <is>
          <t>DESCONTO FALTAS</t>
        </is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20">
        <f>SUM(B22:I22)</f>
        <v/>
      </c>
      <c r="K22" s="33" t="inlineStr"/>
    </row>
    <row r="23">
      <c r="A23" s="30" t="inlineStr">
        <is>
          <t>DESCONTO VALE TRANSPORTE 6%</t>
        </is>
      </c>
      <c r="B23" s="36" t="n"/>
      <c r="C23" s="36" t="n"/>
      <c r="D23" s="36" t="n">
        <v>-84.29000000000001</v>
      </c>
      <c r="E23" s="36" t="n">
        <v>-84.29000000000001</v>
      </c>
      <c r="F23" s="36" t="n">
        <v>-84.29000000000001</v>
      </c>
      <c r="G23" s="36" t="n"/>
      <c r="H23" s="36" t="n"/>
      <c r="I23" s="36" t="n">
        <v>-84.29000000000001</v>
      </c>
      <c r="J23" s="20">
        <f>SUM(B23:I23)</f>
        <v/>
      </c>
      <c r="K23" s="33" t="inlineStr"/>
    </row>
    <row r="24">
      <c r="A24" s="30" t="inlineStr">
        <is>
          <t>DESCONTO INSS</t>
        </is>
      </c>
      <c r="B24" s="36" t="n">
        <v>-592.27</v>
      </c>
      <c r="C24" s="36" t="n">
        <v>-480.85</v>
      </c>
      <c r="D24" s="36" t="n">
        <v>-426.78</v>
      </c>
      <c r="E24" s="36" t="n">
        <v>-414.75</v>
      </c>
      <c r="F24" s="36" t="n">
        <v>-373.14</v>
      </c>
      <c r="G24" s="36" t="n">
        <v>-213.94</v>
      </c>
      <c r="H24" s="36" t="n"/>
      <c r="I24" s="36" t="n">
        <v>-229.38</v>
      </c>
      <c r="J24" s="20">
        <f>SUM(B24:I24)</f>
        <v/>
      </c>
      <c r="K24" s="33" t="inlineStr"/>
    </row>
    <row r="25">
      <c r="A25" s="30" t="inlineStr">
        <is>
          <t>DESCONTO IRRF</t>
        </is>
      </c>
      <c r="B25" s="36" t="n">
        <v>-251.04</v>
      </c>
      <c r="C25" s="36" t="n"/>
      <c r="D25" s="36" t="n"/>
      <c r="E25" s="36" t="n"/>
      <c r="F25" s="36" t="n"/>
      <c r="G25" s="36" t="n"/>
      <c r="H25" s="36" t="n"/>
      <c r="I25" s="36" t="n"/>
      <c r="J25" s="20">
        <f>SUM(B25:I25)</f>
        <v/>
      </c>
      <c r="K25" s="33" t="inlineStr"/>
    </row>
    <row r="26">
      <c r="A26" s="15" t="inlineStr">
        <is>
          <t>TOTAL DE DESCONTOS</t>
        </is>
      </c>
      <c r="B26" s="20">
        <f>SUM(B19:B25)</f>
        <v/>
      </c>
      <c r="C26" s="20">
        <f>SUM(C19:C25)</f>
        <v/>
      </c>
      <c r="D26" s="20">
        <f>SUM(D19:D25)</f>
        <v/>
      </c>
      <c r="E26" s="20">
        <f>SUM(E19:E25)</f>
        <v/>
      </c>
      <c r="F26" s="20">
        <f>SUM(F19:F25)</f>
        <v/>
      </c>
      <c r="G26" s="20">
        <f>SUM(G19:G25)</f>
        <v/>
      </c>
      <c r="H26" s="20">
        <f>SUM(H19:H25)</f>
        <v/>
      </c>
      <c r="I26" s="20">
        <f>SUM(I19:I25)</f>
        <v/>
      </c>
      <c r="J26" s="20">
        <f>SUM(B26:I26)</f>
        <v/>
      </c>
      <c r="K26" s="33" t="inlineStr"/>
    </row>
    <row r="27" ht="20" customHeight="1">
      <c r="A27" s="28" t="inlineStr">
        <is>
          <t>LÍQUIDO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15" t="inlineStr">
        <is>
          <t>LÍQUIDO PAGO (05/08/2026)</t>
        </is>
      </c>
      <c r="B28" s="38">
        <f>B17+B26</f>
        <v/>
      </c>
      <c r="C28" s="38">
        <f>C17+C26</f>
        <v/>
      </c>
      <c r="D28" s="38">
        <f>D17+D26</f>
        <v/>
      </c>
      <c r="E28" s="38">
        <f>E17+E26</f>
        <v/>
      </c>
      <c r="F28" s="38">
        <f>F17+F26</f>
        <v/>
      </c>
      <c r="G28" s="38">
        <f>G17+G26</f>
        <v/>
      </c>
      <c r="H28" s="38">
        <f>H17+H26</f>
        <v/>
      </c>
      <c r="I28" s="38">
        <f>I17+I26</f>
        <v/>
      </c>
      <c r="J28" s="38">
        <f>SUM(B28:I28)</f>
        <v/>
      </c>
      <c r="K28" s="33" t="inlineStr"/>
    </row>
    <row r="29">
      <c r="A29" s="30" t="inlineStr">
        <is>
          <t>SALDO FINAL DA PLANILHA ORIGINAL</t>
        </is>
      </c>
      <c r="B29" s="36" t="n">
        <v>4805.1</v>
      </c>
      <c r="C29" s="36" t="n">
        <v>1735.27</v>
      </c>
      <c r="D29" s="36" t="n">
        <v>2355.21</v>
      </c>
      <c r="E29" s="36" t="n">
        <v>1791.35</v>
      </c>
      <c r="F29" s="36" t="n">
        <v>1648.52</v>
      </c>
      <c r="G29" s="36" t="n">
        <v>1378.91</v>
      </c>
      <c r="H29" s="36" t="n">
        <v>715</v>
      </c>
      <c r="I29" s="36" t="n">
        <v>2505.24</v>
      </c>
      <c r="J29" s="20">
        <f>SUM(B29:I29)</f>
        <v/>
      </c>
      <c r="K29" s="33" t="inlineStr">
        <is>
          <t>Valor que constava na aba AGOSTOJULHO.26 do arquivo original.</t>
        </is>
      </c>
    </row>
    <row r="30">
      <c r="A30" s="15" t="inlineStr">
        <is>
          <t>DIFERENÇA (revisado − original)</t>
        </is>
      </c>
      <c r="B30" s="20">
        <f>ROUND(B28-B29,2)</f>
        <v/>
      </c>
      <c r="C30" s="20">
        <f>ROUND(C28-C29,2)</f>
        <v/>
      </c>
      <c r="D30" s="20">
        <f>ROUND(D28-D29,2)</f>
        <v/>
      </c>
      <c r="E30" s="20">
        <f>ROUND(E28-E29,2)</f>
        <v/>
      </c>
      <c r="F30" s="20">
        <f>ROUND(F28-F29,2)</f>
        <v/>
      </c>
      <c r="G30" s="20">
        <f>ROUND(G28-G29,2)</f>
        <v/>
      </c>
      <c r="H30" s="20">
        <f>ROUND(H28-H29,2)</f>
        <v/>
      </c>
      <c r="I30" s="20">
        <f>ROUND(I28-I29,2)</f>
        <v/>
      </c>
      <c r="J30" s="20">
        <f>SUM(B30:I30)</f>
        <v/>
      </c>
      <c r="K30" s="33" t="inlineStr">
        <is>
          <t>Deve ser zero — confirma que a revisão não alterou nenhum valor pago.</t>
        </is>
      </c>
    </row>
    <row r="31" ht="20" customHeight="1">
      <c r="A31" s="28" t="inlineStr">
        <is>
          <t>CONFERÊNCIA DO DSR DE JULHO/2026 (não altera o que já foi pago — decidir se ajusta em setembro)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>
      <c r="A32" s="30" t="inlineStr">
        <is>
          <t>DSR pago (fator 5/26)</t>
        </is>
      </c>
      <c r="B32" s="35">
        <f>B10</f>
        <v/>
      </c>
      <c r="C32" s="35">
        <f>C10</f>
        <v/>
      </c>
      <c r="D32" s="35">
        <f>D10</f>
        <v/>
      </c>
      <c r="E32" s="35">
        <f>E10</f>
        <v/>
      </c>
      <c r="F32" s="35">
        <f>F10</f>
        <v/>
      </c>
      <c r="G32" s="35">
        <f>G10</f>
        <v/>
      </c>
      <c r="H32" s="35">
        <f>H10</f>
        <v/>
      </c>
      <c r="I32" s="35">
        <f>I10</f>
        <v/>
      </c>
      <c r="J32" s="20">
        <f>SUM(B32:I32)</f>
        <v/>
      </c>
      <c r="K32" s="33" t="inlineStr">
        <is>
          <t>Fator do calendário de agosto aplicado por engano na competência de julho.</t>
        </is>
      </c>
    </row>
    <row r="33">
      <c r="A33" s="30" t="inlineStr">
        <is>
          <t>DSR recalculado (fator 4/27 · comissão + HE)</t>
        </is>
      </c>
      <c r="B33" s="35">
        <f>ROUND((B9+B8)*4/27,2)</f>
        <v/>
      </c>
      <c r="C33" s="35">
        <f>ROUND((C9+C8)*4/27,2)</f>
        <v/>
      </c>
      <c r="D33" s="35">
        <f>ROUND((D9+D8)*4/27,2)</f>
        <v/>
      </c>
      <c r="E33" s="35">
        <f>ROUND((E9+E8)*4/27,2)</f>
        <v/>
      </c>
      <c r="F33" s="35">
        <f>ROUND((F9+F8)*4/27,2)</f>
        <v/>
      </c>
      <c r="G33" s="35">
        <f>ROUND((G9+G8)*4/27,2)</f>
        <v/>
      </c>
      <c r="H33" s="35">
        <f>ROUND((H9+H8)*4/27,2)</f>
        <v/>
      </c>
      <c r="I33" s="35">
        <f>ROUND((I9+I8)*4/27,2)</f>
        <v/>
      </c>
      <c r="J33" s="20">
        <f>SUM(B33:I33)</f>
        <v/>
      </c>
      <c r="K33" s="33" t="inlineStr">
        <is>
          <t>Julho/2026: 4 domingos (05, 12, 19 e 26) e 27 dias úteis.</t>
        </is>
      </c>
    </row>
    <row r="34">
      <c r="A34" s="15" t="inlineStr">
        <is>
          <t>Diferença de DSR (a menor/maior)</t>
        </is>
      </c>
      <c r="B34" s="32">
        <f>ROUND(B33-B32,2)</f>
        <v/>
      </c>
      <c r="C34" s="32">
        <f>ROUND(C33-C32,2)</f>
        <v/>
      </c>
      <c r="D34" s="32">
        <f>ROUND(D33-D32,2)</f>
        <v/>
      </c>
      <c r="E34" s="32">
        <f>ROUND(E33-E32,2)</f>
        <v/>
      </c>
      <c r="F34" s="32">
        <f>ROUND(F33-F32,2)</f>
        <v/>
      </c>
      <c r="G34" s="32">
        <f>ROUND(G33-G32,2)</f>
        <v/>
      </c>
      <c r="H34" s="32">
        <f>ROUND(H33-H32,2)</f>
        <v/>
      </c>
      <c r="I34" s="32">
        <f>ROUND(I33-I32,2)</f>
        <v/>
      </c>
      <c r="J34" s="32">
        <f>SUM(B34:I34)</f>
        <v/>
      </c>
      <c r="K34" s="33" t="inlineStr">
        <is>
          <t>Valor negativo = foi pago a mais em julho. Decidir com a contabilidade se compensa em set/26.</t>
        </is>
      </c>
    </row>
    <row r="35" ht="20" customHeight="1">
      <c r="A35" s="28" t="inlineStr">
        <is>
          <t>INFORMATIVO — PAGO PELA EMPRESA, NÃO ENTRA NO HOLERITE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>
      <c r="A36" s="30" t="inlineStr">
        <is>
          <t>VALE TRANSPORTE (passagens de agosto)</t>
        </is>
      </c>
      <c r="B36" s="36" t="n">
        <v>350</v>
      </c>
      <c r="C36" s="36" t="n"/>
      <c r="D36" s="36" t="n">
        <v>416</v>
      </c>
      <c r="E36" s="36" t="n"/>
      <c r="F36" s="36" t="n">
        <v>500</v>
      </c>
      <c r="G36" s="36" t="n"/>
      <c r="H36" s="36" t="n">
        <v>135</v>
      </c>
      <c r="I36" s="36" t="n">
        <v>288</v>
      </c>
      <c r="J36" s="20">
        <f>SUM(B36:I36)</f>
        <v/>
      </c>
      <c r="K36" s="33" t="inlineStr">
        <is>
          <t>Compra registrada na planilha original.</t>
        </is>
      </c>
    </row>
    <row r="37">
      <c r="A37" s="30" t="inlineStr">
        <is>
          <t>VALE ALIMENTAÇÃO FERIADOS E DOMINGOS</t>
        </is>
      </c>
      <c r="B37" s="36" t="n">
        <v>647</v>
      </c>
      <c r="C37" s="36" t="n">
        <v>84</v>
      </c>
      <c r="D37" s="36" t="n">
        <v>48</v>
      </c>
      <c r="E37" s="36" t="n">
        <v>50</v>
      </c>
      <c r="F37" s="36" t="n">
        <v>75</v>
      </c>
      <c r="G37" s="36" t="n">
        <v>84</v>
      </c>
      <c r="H37" s="36" t="n"/>
      <c r="I37" s="36" t="n"/>
      <c r="J37" s="20">
        <f>SUM(B37:I37)</f>
        <v/>
      </c>
      <c r="K37" s="33" t="inlineStr"/>
    </row>
    <row r="39">
      <c r="A39" s="39" t="inlineStr">
        <is>
          <t>AJUSTES FEITOS NESTA REVISÃO (a planilha original continua intacta no arquivo enviado):</t>
        </is>
      </c>
    </row>
    <row r="40">
      <c r="A40" s="40" t="inlineStr">
        <is>
          <t>1. Fórmulas de SALDO FINAL corrigidas — na original o total do DEAN pulava a linha 17 e o do AGNOR começava na linha 4, deixando linhas de fora da soma.</t>
        </is>
      </c>
    </row>
    <row r="41">
      <c r="A41" s="40" t="inlineStr">
        <is>
          <t>2. Rubricas separadas em PROVENTOS × DESCONTOS, com subtotais próprios, em vez de uma soma única.</t>
        </is>
      </c>
    </row>
    <row r="42">
      <c r="A42" s="40" t="inlineStr">
        <is>
          <t>3. Nomes de rubrica padronizados e coluna de observação com a origem de cada valor.</t>
        </is>
      </c>
    </row>
    <row r="43">
      <c r="A43" s="40" t="inlineStr">
        <is>
          <t>4. Conferência do DSR: em julho foi usado o fator de agosto (5/26) e a base foi o dobro das horas extras lançadas.</t>
        </is>
      </c>
    </row>
    <row r="44">
      <c r="A44" s="40" t="inlineStr">
        <is>
          <t>5. Linha de conferência comparando o líquido revisado com o SALDO FINAL da planilha original (tem que fechar em zero).</t>
        </is>
      </c>
    </row>
  </sheetData>
  <autoFilter ref="A4:K30"/>
  <mergeCells count="8">
    <mergeCell ref="A39:K39"/>
    <mergeCell ref="A43:K43"/>
    <mergeCell ref="A41:K41"/>
    <mergeCell ref="A2:K2"/>
    <mergeCell ref="A42:K42"/>
    <mergeCell ref="A44:K44"/>
    <mergeCell ref="A1:K1"/>
    <mergeCell ref="A40:K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AGOSTO/2026 (pagamento 05/09/2026)</t>
        </is>
      </c>
    </row>
    <row r="2" ht="18" customHeight="1">
      <c r="A2" s="2" t="inlineStr">
        <is>
          <t>Mesmos valores da aba HOLERITE AGO.26, em formato de lista (os valores são vinculados por fórmula)</t>
        </is>
      </c>
    </row>
    <row r="4">
      <c r="A4" s="26" t="inlineStr">
        <is>
          <t>FUNCIONÁRIO</t>
        </is>
      </c>
      <c r="B4" s="26" t="inlineStr">
        <is>
          <t>RUBRICA</t>
        </is>
      </c>
      <c r="C4" s="26" t="inlineStr">
        <is>
          <t>TIPO</t>
        </is>
      </c>
      <c r="D4" s="26" t="inlineStr">
        <is>
          <t>VALOR</t>
        </is>
      </c>
      <c r="E4" s="26" t="inlineStr">
        <is>
          <t>OBSERVAÇÃO</t>
        </is>
      </c>
    </row>
    <row r="5">
      <c r="A5" s="30" t="inlineStr">
        <is>
          <t>DEAN</t>
        </is>
      </c>
      <c r="B5" s="30" t="inlineStr">
        <is>
          <t>SALÁRIO BASE</t>
        </is>
      </c>
      <c r="C5" s="30" t="inlineStr">
        <is>
          <t>Provento</t>
        </is>
      </c>
      <c r="D5" s="34">
        <f>'HOLERITE AGO.26'!B6</f>
        <v/>
      </c>
      <c r="E5" s="41" t="n"/>
    </row>
    <row r="6">
      <c r="A6" s="30" t="inlineStr">
        <is>
          <t>DEAN</t>
        </is>
      </c>
      <c r="B6" s="30" t="inlineStr">
        <is>
          <t>ADICIONAL NOTURNO</t>
        </is>
      </c>
      <c r="C6" s="30" t="inlineStr">
        <is>
          <t>Provento</t>
        </is>
      </c>
      <c r="D6" s="34">
        <f>'HOLERITE AGO.26'!B7</f>
        <v/>
      </c>
      <c r="E6" s="41" t="n"/>
    </row>
    <row r="7">
      <c r="A7" s="30" t="inlineStr">
        <is>
          <t>DEAN</t>
        </is>
      </c>
      <c r="B7" s="30" t="inlineStr">
        <is>
          <t>HORAS EXTRAS</t>
        </is>
      </c>
      <c r="C7" s="30" t="inlineStr">
        <is>
          <t>Provento</t>
        </is>
      </c>
      <c r="D7" s="34">
        <f>'HOLERITE AGO.26'!B8</f>
        <v/>
      </c>
      <c r="E7" s="41" t="n"/>
    </row>
    <row r="8">
      <c r="A8" s="30" t="inlineStr">
        <is>
          <t>DEAN</t>
        </is>
      </c>
      <c r="B8" s="30" t="inlineStr">
        <is>
          <t>COMISSÃO SOBRE VENDAS</t>
        </is>
      </c>
      <c r="C8" s="30" t="inlineStr">
        <is>
          <t>Provento</t>
        </is>
      </c>
      <c r="D8" s="34">
        <f>'HOLERITE AGO.26'!B11</f>
        <v/>
      </c>
      <c r="E8" s="41" t="n"/>
    </row>
    <row r="9">
      <c r="A9" s="30" t="inlineStr">
        <is>
          <t>DEAN</t>
        </is>
      </c>
      <c r="B9" s="30" t="inlineStr">
        <is>
          <t>REPOUSO REMUNERADO / DSR</t>
        </is>
      </c>
      <c r="C9" s="30" t="inlineStr">
        <is>
          <t>Provento</t>
        </is>
      </c>
      <c r="D9" s="34">
        <f>'HOLERITE AGO.26'!B12</f>
        <v/>
      </c>
      <c r="E9" s="41" t="n"/>
    </row>
    <row r="10">
      <c r="A10" s="30" t="inlineStr">
        <is>
          <t>DEAN</t>
        </is>
      </c>
      <c r="B10" s="30" t="inlineStr">
        <is>
          <t>AUXÍLIO GERÊNCIA</t>
        </is>
      </c>
      <c r="C10" s="30" t="inlineStr">
        <is>
          <t>Provento</t>
        </is>
      </c>
      <c r="D10" s="34">
        <f>'HOLERITE AGO.26'!B13</f>
        <v/>
      </c>
      <c r="E10" s="41" t="n"/>
    </row>
    <row r="11">
      <c r="A11" s="30" t="inlineStr">
        <is>
          <t>DEAN</t>
        </is>
      </c>
      <c r="B11" s="30" t="inlineStr">
        <is>
          <t>ADICIONAL PRÊMIO META CAIXA</t>
        </is>
      </c>
      <c r="C11" s="30" t="inlineStr">
        <is>
          <t>Provento</t>
        </is>
      </c>
      <c r="D11" s="34">
        <f>'HOLERITE AGO.26'!B14</f>
        <v/>
      </c>
      <c r="E11" s="41" t="n"/>
    </row>
    <row r="12">
      <c r="A12" s="30" t="inlineStr">
        <is>
          <t>DEAN</t>
        </is>
      </c>
      <c r="B12" s="30" t="inlineStr">
        <is>
          <t>PRÊMIO COTA GERAL</t>
        </is>
      </c>
      <c r="C12" s="30" t="inlineStr">
        <is>
          <t>Provento</t>
        </is>
      </c>
      <c r="D12" s="34">
        <f>'HOLERITE AGO.26'!B15</f>
        <v/>
      </c>
      <c r="E12" s="41" t="n"/>
    </row>
    <row r="13">
      <c r="A13" s="30" t="inlineStr">
        <is>
          <t>DEAN</t>
        </is>
      </c>
      <c r="B13" s="30" t="inlineStr">
        <is>
          <t>PRÊMIO PRÉ-VENCIDOS</t>
        </is>
      </c>
      <c r="C13" s="30" t="inlineStr">
        <is>
          <t>Provento</t>
        </is>
      </c>
      <c r="D13" s="34">
        <f>'HOLERITE AGO.26'!B16</f>
        <v/>
      </c>
      <c r="E13" s="41" t="n"/>
    </row>
    <row r="14">
      <c r="A14" s="30" t="inlineStr">
        <is>
          <t>DEAN</t>
        </is>
      </c>
      <c r="B14" s="30" t="inlineStr">
        <is>
          <t>INCENTIVO APLICAÇÕES</t>
        </is>
      </c>
      <c r="C14" s="30" t="inlineStr">
        <is>
          <t>Provento</t>
        </is>
      </c>
      <c r="D14" s="34">
        <f>'HOLERITE AGO.26'!B19</f>
        <v/>
      </c>
      <c r="E14" s="41" t="n"/>
    </row>
    <row r="15">
      <c r="A15" s="30" t="inlineStr">
        <is>
          <t>DEAN</t>
        </is>
      </c>
      <c r="B15" s="30" t="inlineStr">
        <is>
          <t>INCENTIVO VITAMINAS</t>
        </is>
      </c>
      <c r="C15" s="30" t="inlineStr">
        <is>
          <t>Provento</t>
        </is>
      </c>
      <c r="D15" s="34">
        <f>'HOLERITE AGO.26'!B20</f>
        <v/>
      </c>
      <c r="E15" s="41" t="n"/>
    </row>
    <row r="16">
      <c r="A16" s="30" t="inlineStr">
        <is>
          <t>DEAN</t>
        </is>
      </c>
      <c r="B16" s="30" t="inlineStr">
        <is>
          <t>OUTROS INCENTIVOS</t>
        </is>
      </c>
      <c r="C16" s="30" t="inlineStr">
        <is>
          <t>Provento</t>
        </is>
      </c>
      <c r="D16" s="34">
        <f>'HOLERITE AGO.26'!B21</f>
        <v/>
      </c>
      <c r="E16" s="41" t="n"/>
    </row>
    <row r="17">
      <c r="A17" s="42" t="inlineStr">
        <is>
          <t>DEAN</t>
        </is>
      </c>
      <c r="B17" s="42" t="inlineStr">
        <is>
          <t>TOTAL DE PROVENTOS</t>
        </is>
      </c>
      <c r="C17" s="42" t="inlineStr">
        <is>
          <t>Subtotal</t>
        </is>
      </c>
      <c r="D17" s="43">
        <f>'HOLERITE AGO.26'!B22</f>
        <v/>
      </c>
      <c r="E17" s="18" t="n"/>
    </row>
    <row r="18">
      <c r="A18" s="30" t="inlineStr">
        <is>
          <t>DEAN</t>
        </is>
      </c>
      <c r="B18" s="30" t="inlineStr">
        <is>
          <t>ADIANTAMENTO / VALES</t>
        </is>
      </c>
      <c r="C18" s="30" t="inlineStr">
        <is>
          <t>Desconto</t>
        </is>
      </c>
      <c r="D18" s="34">
        <f>'HOLERITE AGO.26'!B24</f>
        <v/>
      </c>
      <c r="E18" s="41" t="n"/>
    </row>
    <row r="19">
      <c r="A19" s="30" t="inlineStr">
        <is>
          <t>DEAN</t>
        </is>
      </c>
      <c r="B19" s="30" t="inlineStr">
        <is>
          <t>ADIANT. VALES INCENT. E APLIC.</t>
        </is>
      </c>
      <c r="C19" s="30" t="inlineStr">
        <is>
          <t>Desconto</t>
        </is>
      </c>
      <c r="D19" s="34">
        <f>'HOLERITE AGO.26'!B25</f>
        <v/>
      </c>
      <c r="E19" s="41" t="n"/>
    </row>
    <row r="20">
      <c r="A20" s="30" t="inlineStr">
        <is>
          <t>DEAN</t>
        </is>
      </c>
      <c r="B20" s="30" t="inlineStr">
        <is>
          <t>CONVÊNIO</t>
        </is>
      </c>
      <c r="C20" s="30" t="inlineStr">
        <is>
          <t>Desconto</t>
        </is>
      </c>
      <c r="D20" s="34">
        <f>'HOLERITE AGO.26'!B26</f>
        <v/>
      </c>
      <c r="E20" s="41" t="n"/>
    </row>
    <row r="21">
      <c r="A21" s="30" t="inlineStr">
        <is>
          <t>DEAN</t>
        </is>
      </c>
      <c r="B21" s="30" t="inlineStr">
        <is>
          <t>DESCONTO FALTAS / ATRASOS</t>
        </is>
      </c>
      <c r="C21" s="30" t="inlineStr">
        <is>
          <t>Desconto</t>
        </is>
      </c>
      <c r="D21" s="34">
        <f>'HOLERITE AGO.26'!B27</f>
        <v/>
      </c>
      <c r="E21" s="41" t="n"/>
    </row>
    <row r="22">
      <c r="A22" s="30" t="inlineStr">
        <is>
          <t>DEAN</t>
        </is>
      </c>
      <c r="B22" s="30" t="inlineStr">
        <is>
          <t>DESCONTO VALE TRANSPORTE 6%</t>
        </is>
      </c>
      <c r="C22" s="30" t="inlineStr">
        <is>
          <t>Desconto</t>
        </is>
      </c>
      <c r="D22" s="34">
        <f>'HOLERITE AGO.26'!B28</f>
        <v/>
      </c>
      <c r="E22" s="41" t="n"/>
    </row>
    <row r="23">
      <c r="A23" s="30" t="inlineStr">
        <is>
          <t>DEAN</t>
        </is>
      </c>
      <c r="B23" s="30" t="inlineStr">
        <is>
          <t>DESCONTO INSS</t>
        </is>
      </c>
      <c r="C23" s="30" t="inlineStr">
        <is>
          <t>Desconto</t>
        </is>
      </c>
      <c r="D23" s="34">
        <f>'HOLERITE AGO.26'!B29</f>
        <v/>
      </c>
      <c r="E23" s="41" t="n"/>
    </row>
    <row r="24">
      <c r="A24" s="30" t="inlineStr">
        <is>
          <t>DEAN</t>
        </is>
      </c>
      <c r="B24" s="30" t="inlineStr">
        <is>
          <t>DESCONTO IRRF</t>
        </is>
      </c>
      <c r="C24" s="30" t="inlineStr">
        <is>
          <t>Desconto</t>
        </is>
      </c>
      <c r="D24" s="34">
        <f>'HOLERITE AGO.26'!B30</f>
        <v/>
      </c>
      <c r="E24" s="41" t="n"/>
    </row>
    <row r="25">
      <c r="A25" s="42" t="inlineStr">
        <is>
          <t>DEAN</t>
        </is>
      </c>
      <c r="B25" s="42" t="inlineStr">
        <is>
          <t>TOTAL DE DESCONTOS</t>
        </is>
      </c>
      <c r="C25" s="42" t="inlineStr">
        <is>
          <t>Subtotal</t>
        </is>
      </c>
      <c r="D25" s="43">
        <f>'HOLERITE AGO.26'!B31</f>
        <v/>
      </c>
      <c r="E25" s="18" t="n"/>
    </row>
    <row r="26">
      <c r="A26" s="44" t="inlineStr">
        <is>
          <t>DEAN</t>
        </is>
      </c>
      <c r="B26" s="45" t="inlineStr">
        <is>
          <t>LÍQUIDO A RECEBER</t>
        </is>
      </c>
      <c r="C26" s="45" t="inlineStr">
        <is>
          <t>Líquido</t>
        </is>
      </c>
      <c r="D26" s="46">
        <f>'HOLERITE AGO.26'!B33</f>
        <v/>
      </c>
      <c r="E26" s="47" t="n"/>
    </row>
    <row r="28">
      <c r="A28" s="30" t="inlineStr">
        <is>
          <t>AGNOR</t>
        </is>
      </c>
      <c r="B28" s="30" t="inlineStr">
        <is>
          <t>SALÁRIO BASE</t>
        </is>
      </c>
      <c r="C28" s="30" t="inlineStr">
        <is>
          <t>Provento</t>
        </is>
      </c>
      <c r="D28" s="34">
        <f>'HOLERITE AGO.26'!C6</f>
        <v/>
      </c>
      <c r="E28" s="41" t="n"/>
    </row>
    <row r="29">
      <c r="A29" s="30" t="inlineStr">
        <is>
          <t>AGNOR</t>
        </is>
      </c>
      <c r="B29" s="30" t="inlineStr">
        <is>
          <t>ADICIONAL NOTURNO</t>
        </is>
      </c>
      <c r="C29" s="30" t="inlineStr">
        <is>
          <t>Provento</t>
        </is>
      </c>
      <c r="D29" s="34">
        <f>'HOLERITE AGO.26'!C7</f>
        <v/>
      </c>
      <c r="E29" s="41" t="n"/>
    </row>
    <row r="30">
      <c r="A30" s="30" t="inlineStr">
        <is>
          <t>AGNOR</t>
        </is>
      </c>
      <c r="B30" s="30" t="inlineStr">
        <is>
          <t>HORAS EXTRAS</t>
        </is>
      </c>
      <c r="C30" s="30" t="inlineStr">
        <is>
          <t>Provento</t>
        </is>
      </c>
      <c r="D30" s="34">
        <f>'HOLERITE AGO.26'!C8</f>
        <v/>
      </c>
      <c r="E30" s="41" t="n"/>
    </row>
    <row r="31">
      <c r="A31" s="30" t="inlineStr">
        <is>
          <t>AGNOR</t>
        </is>
      </c>
      <c r="B31" s="30" t="inlineStr">
        <is>
          <t>COMISSÃO SOBRE VENDAS</t>
        </is>
      </c>
      <c r="C31" s="30" t="inlineStr">
        <is>
          <t>Provento</t>
        </is>
      </c>
      <c r="D31" s="34">
        <f>'HOLERITE AGO.26'!C11</f>
        <v/>
      </c>
      <c r="E31" s="41" t="n"/>
    </row>
    <row r="32">
      <c r="A32" s="30" t="inlineStr">
        <is>
          <t>AGNOR</t>
        </is>
      </c>
      <c r="B32" s="30" t="inlineStr">
        <is>
          <t>REPOUSO REMUNERADO / DSR</t>
        </is>
      </c>
      <c r="C32" s="30" t="inlineStr">
        <is>
          <t>Provento</t>
        </is>
      </c>
      <c r="D32" s="34">
        <f>'HOLERITE AGO.26'!C12</f>
        <v/>
      </c>
      <c r="E32" s="41" t="n"/>
    </row>
    <row r="33">
      <c r="A33" s="30" t="inlineStr">
        <is>
          <t>AGNOR</t>
        </is>
      </c>
      <c r="B33" s="30" t="inlineStr">
        <is>
          <t>AUXÍLIO GERÊNCIA</t>
        </is>
      </c>
      <c r="C33" s="30" t="inlineStr">
        <is>
          <t>Provento</t>
        </is>
      </c>
      <c r="D33" s="34">
        <f>'HOLERITE AGO.26'!C13</f>
        <v/>
      </c>
      <c r="E33" s="41" t="n"/>
    </row>
    <row r="34">
      <c r="A34" s="30" t="inlineStr">
        <is>
          <t>AGNOR</t>
        </is>
      </c>
      <c r="B34" s="30" t="inlineStr">
        <is>
          <t>ADICIONAL PRÊMIO META CAIXA</t>
        </is>
      </c>
      <c r="C34" s="30" t="inlineStr">
        <is>
          <t>Provento</t>
        </is>
      </c>
      <c r="D34" s="34">
        <f>'HOLERITE AGO.26'!C14</f>
        <v/>
      </c>
      <c r="E34" s="41" t="n"/>
    </row>
    <row r="35">
      <c r="A35" s="30" t="inlineStr">
        <is>
          <t>AGNOR</t>
        </is>
      </c>
      <c r="B35" s="30" t="inlineStr">
        <is>
          <t>PRÊMIO COTA GERAL</t>
        </is>
      </c>
      <c r="C35" s="30" t="inlineStr">
        <is>
          <t>Provento</t>
        </is>
      </c>
      <c r="D35" s="34">
        <f>'HOLERITE AGO.26'!C15</f>
        <v/>
      </c>
      <c r="E35" s="41" t="n"/>
    </row>
    <row r="36">
      <c r="A36" s="30" t="inlineStr">
        <is>
          <t>AGNOR</t>
        </is>
      </c>
      <c r="B36" s="30" t="inlineStr">
        <is>
          <t>PRÊMIO PRÉ-VENCIDOS</t>
        </is>
      </c>
      <c r="C36" s="30" t="inlineStr">
        <is>
          <t>Provento</t>
        </is>
      </c>
      <c r="D36" s="34">
        <f>'HOLERITE AGO.26'!C16</f>
        <v/>
      </c>
      <c r="E36" s="41" t="n"/>
    </row>
    <row r="37">
      <c r="A37" s="30" t="inlineStr">
        <is>
          <t>AGNOR</t>
        </is>
      </c>
      <c r="B37" s="30" t="inlineStr">
        <is>
          <t>INCENTIVO APLICAÇÕES</t>
        </is>
      </c>
      <c r="C37" s="30" t="inlineStr">
        <is>
          <t>Provento</t>
        </is>
      </c>
      <c r="D37" s="34">
        <f>'HOLERITE AGO.26'!C19</f>
        <v/>
      </c>
      <c r="E37" s="41" t="n"/>
    </row>
    <row r="38">
      <c r="A38" s="30" t="inlineStr">
        <is>
          <t>AGNOR</t>
        </is>
      </c>
      <c r="B38" s="30" t="inlineStr">
        <is>
          <t>INCENTIVO VITAMINAS</t>
        </is>
      </c>
      <c r="C38" s="30" t="inlineStr">
        <is>
          <t>Provento</t>
        </is>
      </c>
      <c r="D38" s="34">
        <f>'HOLERITE AGO.26'!C20</f>
        <v/>
      </c>
      <c r="E38" s="41" t="n"/>
    </row>
    <row r="39">
      <c r="A39" s="30" t="inlineStr">
        <is>
          <t>AGNOR</t>
        </is>
      </c>
      <c r="B39" s="30" t="inlineStr">
        <is>
          <t>OUTROS INCENTIVOS</t>
        </is>
      </c>
      <c r="C39" s="30" t="inlineStr">
        <is>
          <t>Provento</t>
        </is>
      </c>
      <c r="D39" s="34">
        <f>'HOLERITE AGO.26'!C21</f>
        <v/>
      </c>
      <c r="E39" s="41" t="n"/>
    </row>
    <row r="40">
      <c r="A40" s="42" t="inlineStr">
        <is>
          <t>AGNOR</t>
        </is>
      </c>
      <c r="B40" s="42" t="inlineStr">
        <is>
          <t>TOTAL DE PROVENTOS</t>
        </is>
      </c>
      <c r="C40" s="42" t="inlineStr">
        <is>
          <t>Subtotal</t>
        </is>
      </c>
      <c r="D40" s="43">
        <f>'HOLERITE AGO.26'!C22</f>
        <v/>
      </c>
      <c r="E40" s="18" t="n"/>
    </row>
    <row r="41">
      <c r="A41" s="30" t="inlineStr">
        <is>
          <t>AGNOR</t>
        </is>
      </c>
      <c r="B41" s="30" t="inlineStr">
        <is>
          <t>ADIANTAMENTO / VALES</t>
        </is>
      </c>
      <c r="C41" s="30" t="inlineStr">
        <is>
          <t>Desconto</t>
        </is>
      </c>
      <c r="D41" s="34">
        <f>'HOLERITE AGO.26'!C24</f>
        <v/>
      </c>
      <c r="E41" s="41" t="n"/>
    </row>
    <row r="42">
      <c r="A42" s="30" t="inlineStr">
        <is>
          <t>AGNOR</t>
        </is>
      </c>
      <c r="B42" s="30" t="inlineStr">
        <is>
          <t>ADIANT. VALES INCENT. E APLIC.</t>
        </is>
      </c>
      <c r="C42" s="30" t="inlineStr">
        <is>
          <t>Desconto</t>
        </is>
      </c>
      <c r="D42" s="34">
        <f>'HOLERITE AGO.26'!C25</f>
        <v/>
      </c>
      <c r="E42" s="41" t="n"/>
    </row>
    <row r="43">
      <c r="A43" s="30" t="inlineStr">
        <is>
          <t>AGNOR</t>
        </is>
      </c>
      <c r="B43" s="30" t="inlineStr">
        <is>
          <t>CONVÊNIO</t>
        </is>
      </c>
      <c r="C43" s="30" t="inlineStr">
        <is>
          <t>Desconto</t>
        </is>
      </c>
      <c r="D43" s="34">
        <f>'HOLERITE AGO.26'!C26</f>
        <v/>
      </c>
      <c r="E43" s="41" t="n"/>
    </row>
    <row r="44">
      <c r="A44" s="30" t="inlineStr">
        <is>
          <t>AGNOR</t>
        </is>
      </c>
      <c r="B44" s="30" t="inlineStr">
        <is>
          <t>DESCONTO FALTAS / ATRASOS</t>
        </is>
      </c>
      <c r="C44" s="30" t="inlineStr">
        <is>
          <t>Desconto</t>
        </is>
      </c>
      <c r="D44" s="34">
        <f>'HOLERITE AGO.26'!C27</f>
        <v/>
      </c>
      <c r="E44" s="41" t="n"/>
    </row>
    <row r="45">
      <c r="A45" s="30" t="inlineStr">
        <is>
          <t>AGNOR</t>
        </is>
      </c>
      <c r="B45" s="30" t="inlineStr">
        <is>
          <t>DESCONTO VALE TRANSPORTE 6%</t>
        </is>
      </c>
      <c r="C45" s="30" t="inlineStr">
        <is>
          <t>Desconto</t>
        </is>
      </c>
      <c r="D45" s="34">
        <f>'HOLERITE AGO.26'!C28</f>
        <v/>
      </c>
      <c r="E45" s="41" t="n"/>
    </row>
    <row r="46">
      <c r="A46" s="30" t="inlineStr">
        <is>
          <t>AGNOR</t>
        </is>
      </c>
      <c r="B46" s="30" t="inlineStr">
        <is>
          <t>DESCONTO INSS</t>
        </is>
      </c>
      <c r="C46" s="30" t="inlineStr">
        <is>
          <t>Desconto</t>
        </is>
      </c>
      <c r="D46" s="34">
        <f>'HOLERITE AGO.26'!C29</f>
        <v/>
      </c>
      <c r="E46" s="41" t="n"/>
    </row>
    <row r="47">
      <c r="A47" s="30" t="inlineStr">
        <is>
          <t>AGNOR</t>
        </is>
      </c>
      <c r="B47" s="30" t="inlineStr">
        <is>
          <t>DESCONTO IRRF</t>
        </is>
      </c>
      <c r="C47" s="30" t="inlineStr">
        <is>
          <t>Desconto</t>
        </is>
      </c>
      <c r="D47" s="34">
        <f>'HOLERITE AGO.26'!C30</f>
        <v/>
      </c>
      <c r="E47" s="41" t="n"/>
    </row>
    <row r="48">
      <c r="A48" s="42" t="inlineStr">
        <is>
          <t>AGNOR</t>
        </is>
      </c>
      <c r="B48" s="42" t="inlineStr">
        <is>
          <t>TOTAL DE DESCONTOS</t>
        </is>
      </c>
      <c r="C48" s="42" t="inlineStr">
        <is>
          <t>Subtotal</t>
        </is>
      </c>
      <c r="D48" s="43">
        <f>'HOLERITE AGO.26'!C31</f>
        <v/>
      </c>
      <c r="E48" s="18" t="n"/>
    </row>
    <row r="49">
      <c r="A49" s="44" t="inlineStr">
        <is>
          <t>AGNOR</t>
        </is>
      </c>
      <c r="B49" s="45" t="inlineStr">
        <is>
          <t>LÍQUIDO A RECEBER</t>
        </is>
      </c>
      <c r="C49" s="45" t="inlineStr">
        <is>
          <t>Líquido</t>
        </is>
      </c>
      <c r="D49" s="46">
        <f>'HOLERITE AGO.26'!C33</f>
        <v/>
      </c>
      <c r="E49" s="47" t="n"/>
    </row>
    <row r="51">
      <c r="A51" s="30" t="inlineStr">
        <is>
          <t>EDEY</t>
        </is>
      </c>
      <c r="B51" s="30" t="inlineStr">
        <is>
          <t>SALÁRIO BASE</t>
        </is>
      </c>
      <c r="C51" s="30" t="inlineStr">
        <is>
          <t>Provento</t>
        </is>
      </c>
      <c r="D51" s="34">
        <f>'HOLERITE AGO.26'!D6</f>
        <v/>
      </c>
      <c r="E51" s="41" t="n"/>
    </row>
    <row r="52">
      <c r="A52" s="30" t="inlineStr">
        <is>
          <t>EDEY</t>
        </is>
      </c>
      <c r="B52" s="30" t="inlineStr">
        <is>
          <t>ADICIONAL NOTURNO</t>
        </is>
      </c>
      <c r="C52" s="30" t="inlineStr">
        <is>
          <t>Provento</t>
        </is>
      </c>
      <c r="D52" s="34">
        <f>'HOLERITE AGO.26'!D7</f>
        <v/>
      </c>
      <c r="E52" s="41" t="n"/>
    </row>
    <row r="53">
      <c r="A53" s="30" t="inlineStr">
        <is>
          <t>EDEY</t>
        </is>
      </c>
      <c r="B53" s="30" t="inlineStr">
        <is>
          <t>HORAS EXTRAS</t>
        </is>
      </c>
      <c r="C53" s="30" t="inlineStr">
        <is>
          <t>Provento</t>
        </is>
      </c>
      <c r="D53" s="34">
        <f>'HOLERITE AGO.26'!D8</f>
        <v/>
      </c>
      <c r="E53" s="41" t="n"/>
    </row>
    <row r="54">
      <c r="A54" s="30" t="inlineStr">
        <is>
          <t>EDEY</t>
        </is>
      </c>
      <c r="B54" s="30" t="inlineStr">
        <is>
          <t>COMISSÃO SOBRE VENDAS</t>
        </is>
      </c>
      <c r="C54" s="30" t="inlineStr">
        <is>
          <t>Provento</t>
        </is>
      </c>
      <c r="D54" s="34">
        <f>'HOLERITE AGO.26'!D11</f>
        <v/>
      </c>
      <c r="E54" s="41" t="n"/>
    </row>
    <row r="55">
      <c r="A55" s="30" t="inlineStr">
        <is>
          <t>EDEY</t>
        </is>
      </c>
      <c r="B55" s="30" t="inlineStr">
        <is>
          <t>REPOUSO REMUNERADO / DSR</t>
        </is>
      </c>
      <c r="C55" s="30" t="inlineStr">
        <is>
          <t>Provento</t>
        </is>
      </c>
      <c r="D55" s="34">
        <f>'HOLERITE AGO.26'!D12</f>
        <v/>
      </c>
      <c r="E55" s="41" t="n"/>
    </row>
    <row r="56">
      <c r="A56" s="30" t="inlineStr">
        <is>
          <t>EDEY</t>
        </is>
      </c>
      <c r="B56" s="30" t="inlineStr">
        <is>
          <t>AUXÍLIO GERÊNCIA</t>
        </is>
      </c>
      <c r="C56" s="30" t="inlineStr">
        <is>
          <t>Provento</t>
        </is>
      </c>
      <c r="D56" s="34">
        <f>'HOLERITE AGO.26'!D13</f>
        <v/>
      </c>
      <c r="E56" s="41" t="n"/>
    </row>
    <row r="57">
      <c r="A57" s="30" t="inlineStr">
        <is>
          <t>EDEY</t>
        </is>
      </c>
      <c r="B57" s="30" t="inlineStr">
        <is>
          <t>ADICIONAL PRÊMIO META CAIXA</t>
        </is>
      </c>
      <c r="C57" s="30" t="inlineStr">
        <is>
          <t>Provento</t>
        </is>
      </c>
      <c r="D57" s="34">
        <f>'HOLERITE AGO.26'!D14</f>
        <v/>
      </c>
      <c r="E57" s="41" t="n"/>
    </row>
    <row r="58">
      <c r="A58" s="30" t="inlineStr">
        <is>
          <t>EDEY</t>
        </is>
      </c>
      <c r="B58" s="30" t="inlineStr">
        <is>
          <t>PRÊMIO COTA GERAL</t>
        </is>
      </c>
      <c r="C58" s="30" t="inlineStr">
        <is>
          <t>Provento</t>
        </is>
      </c>
      <c r="D58" s="34">
        <f>'HOLERITE AGO.26'!D15</f>
        <v/>
      </c>
      <c r="E58" s="41" t="n"/>
    </row>
    <row r="59">
      <c r="A59" s="30" t="inlineStr">
        <is>
          <t>EDEY</t>
        </is>
      </c>
      <c r="B59" s="30" t="inlineStr">
        <is>
          <t>PRÊMIO PRÉ-VENCIDOS</t>
        </is>
      </c>
      <c r="C59" s="30" t="inlineStr">
        <is>
          <t>Provento</t>
        </is>
      </c>
      <c r="D59" s="34">
        <f>'HOLERITE AGO.26'!D16</f>
        <v/>
      </c>
      <c r="E59" s="41" t="n"/>
    </row>
    <row r="60">
      <c r="A60" s="30" t="inlineStr">
        <is>
          <t>EDEY</t>
        </is>
      </c>
      <c r="B60" s="30" t="inlineStr">
        <is>
          <t>INCENTIVO APLICAÇÕES</t>
        </is>
      </c>
      <c r="C60" s="30" t="inlineStr">
        <is>
          <t>Provento</t>
        </is>
      </c>
      <c r="D60" s="34">
        <f>'HOLERITE AGO.26'!D19</f>
        <v/>
      </c>
      <c r="E60" s="41" t="n"/>
    </row>
    <row r="61">
      <c r="A61" s="30" t="inlineStr">
        <is>
          <t>EDEY</t>
        </is>
      </c>
      <c r="B61" s="30" t="inlineStr">
        <is>
          <t>INCENTIVO VITAMINAS</t>
        </is>
      </c>
      <c r="C61" s="30" t="inlineStr">
        <is>
          <t>Provento</t>
        </is>
      </c>
      <c r="D61" s="34">
        <f>'HOLERITE AGO.26'!D20</f>
        <v/>
      </c>
      <c r="E61" s="41" t="n"/>
    </row>
    <row r="62">
      <c r="A62" s="30" t="inlineStr">
        <is>
          <t>EDEY</t>
        </is>
      </c>
      <c r="B62" s="30" t="inlineStr">
        <is>
          <t>OUTROS INCENTIVOS</t>
        </is>
      </c>
      <c r="C62" s="30" t="inlineStr">
        <is>
          <t>Provento</t>
        </is>
      </c>
      <c r="D62" s="34">
        <f>'HOLERITE AGO.26'!D21</f>
        <v/>
      </c>
      <c r="E62" s="41" t="n"/>
    </row>
    <row r="63">
      <c r="A63" s="42" t="inlineStr">
        <is>
          <t>EDEY</t>
        </is>
      </c>
      <c r="B63" s="42" t="inlineStr">
        <is>
          <t>TOTAL DE PROVENTOS</t>
        </is>
      </c>
      <c r="C63" s="42" t="inlineStr">
        <is>
          <t>Subtotal</t>
        </is>
      </c>
      <c r="D63" s="43">
        <f>'HOLERITE AGO.26'!D22</f>
        <v/>
      </c>
      <c r="E63" s="18" t="n"/>
    </row>
    <row r="64">
      <c r="A64" s="30" t="inlineStr">
        <is>
          <t>EDEY</t>
        </is>
      </c>
      <c r="B64" s="30" t="inlineStr">
        <is>
          <t>ADIANTAMENTO / VALES</t>
        </is>
      </c>
      <c r="C64" s="30" t="inlineStr">
        <is>
          <t>Desconto</t>
        </is>
      </c>
      <c r="D64" s="34">
        <f>'HOLERITE AGO.26'!D24</f>
        <v/>
      </c>
      <c r="E64" s="41" t="n"/>
    </row>
    <row r="65">
      <c r="A65" s="30" t="inlineStr">
        <is>
          <t>EDEY</t>
        </is>
      </c>
      <c r="B65" s="30" t="inlineStr">
        <is>
          <t>ADIANT. VALES INCENT. E APLIC.</t>
        </is>
      </c>
      <c r="C65" s="30" t="inlineStr">
        <is>
          <t>Desconto</t>
        </is>
      </c>
      <c r="D65" s="34">
        <f>'HOLERITE AGO.26'!D25</f>
        <v/>
      </c>
      <c r="E65" s="41" t="n"/>
    </row>
    <row r="66">
      <c r="A66" s="30" t="inlineStr">
        <is>
          <t>EDEY</t>
        </is>
      </c>
      <c r="B66" s="30" t="inlineStr">
        <is>
          <t>CONVÊNIO</t>
        </is>
      </c>
      <c r="C66" s="30" t="inlineStr">
        <is>
          <t>Desconto</t>
        </is>
      </c>
      <c r="D66" s="34">
        <f>'HOLERITE AGO.26'!D26</f>
        <v/>
      </c>
      <c r="E66" s="41" t="n"/>
    </row>
    <row r="67">
      <c r="A67" s="30" t="inlineStr">
        <is>
          <t>EDEY</t>
        </is>
      </c>
      <c r="B67" s="30" t="inlineStr">
        <is>
          <t>DESCONTO FALTAS / ATRASOS</t>
        </is>
      </c>
      <c r="C67" s="30" t="inlineStr">
        <is>
          <t>Desconto</t>
        </is>
      </c>
      <c r="D67" s="34">
        <f>'HOLERITE AGO.26'!D27</f>
        <v/>
      </c>
      <c r="E67" s="41" t="n"/>
    </row>
    <row r="68">
      <c r="A68" s="30" t="inlineStr">
        <is>
          <t>EDEY</t>
        </is>
      </c>
      <c r="B68" s="30" t="inlineStr">
        <is>
          <t>DESCONTO VALE TRANSPORTE 6%</t>
        </is>
      </c>
      <c r="C68" s="30" t="inlineStr">
        <is>
          <t>Desconto</t>
        </is>
      </c>
      <c r="D68" s="34">
        <f>'HOLERITE AGO.26'!D28</f>
        <v/>
      </c>
      <c r="E68" s="41" t="n"/>
    </row>
    <row r="69">
      <c r="A69" s="30" t="inlineStr">
        <is>
          <t>EDEY</t>
        </is>
      </c>
      <c r="B69" s="30" t="inlineStr">
        <is>
          <t>DESCONTO INSS</t>
        </is>
      </c>
      <c r="C69" s="30" t="inlineStr">
        <is>
          <t>Desconto</t>
        </is>
      </c>
      <c r="D69" s="34">
        <f>'HOLERITE AGO.26'!D29</f>
        <v/>
      </c>
      <c r="E69" s="41" t="n"/>
    </row>
    <row r="70">
      <c r="A70" s="30" t="inlineStr">
        <is>
          <t>EDEY</t>
        </is>
      </c>
      <c r="B70" s="30" t="inlineStr">
        <is>
          <t>DESCONTO IRRF</t>
        </is>
      </c>
      <c r="C70" s="30" t="inlineStr">
        <is>
          <t>Desconto</t>
        </is>
      </c>
      <c r="D70" s="34">
        <f>'HOLERITE AGO.26'!D30</f>
        <v/>
      </c>
      <c r="E70" s="41" t="n"/>
    </row>
    <row r="71">
      <c r="A71" s="42" t="inlineStr">
        <is>
          <t>EDEY</t>
        </is>
      </c>
      <c r="B71" s="42" t="inlineStr">
        <is>
          <t>TOTAL DE DESCONTOS</t>
        </is>
      </c>
      <c r="C71" s="42" t="inlineStr">
        <is>
          <t>Subtotal</t>
        </is>
      </c>
      <c r="D71" s="43">
        <f>'HOLERITE AGO.26'!D31</f>
        <v/>
      </c>
      <c r="E71" s="18" t="n"/>
    </row>
    <row r="72">
      <c r="A72" s="44" t="inlineStr">
        <is>
          <t>EDEY</t>
        </is>
      </c>
      <c r="B72" s="45" t="inlineStr">
        <is>
          <t>LÍQUIDO A RECEBER</t>
        </is>
      </c>
      <c r="C72" s="45" t="inlineStr">
        <is>
          <t>Líquido</t>
        </is>
      </c>
      <c r="D72" s="46">
        <f>'HOLERITE AGO.26'!D33</f>
        <v/>
      </c>
      <c r="E72" s="47" t="n"/>
    </row>
    <row r="74">
      <c r="A74" s="30" t="inlineStr">
        <is>
          <t>JOEL</t>
        </is>
      </c>
      <c r="B74" s="30" t="inlineStr">
        <is>
          <t>SALÁRIO BASE</t>
        </is>
      </c>
      <c r="C74" s="30" t="inlineStr">
        <is>
          <t>Provento</t>
        </is>
      </c>
      <c r="D74" s="34">
        <f>'HOLERITE AGO.26'!E6</f>
        <v/>
      </c>
      <c r="E74" s="41" t="n"/>
    </row>
    <row r="75">
      <c r="A75" s="30" t="inlineStr">
        <is>
          <t>JOEL</t>
        </is>
      </c>
      <c r="B75" s="30" t="inlineStr">
        <is>
          <t>ADICIONAL NOTURNO</t>
        </is>
      </c>
      <c r="C75" s="30" t="inlineStr">
        <is>
          <t>Provento</t>
        </is>
      </c>
      <c r="D75" s="34">
        <f>'HOLERITE AGO.26'!E7</f>
        <v/>
      </c>
      <c r="E75" s="41" t="n"/>
    </row>
    <row r="76">
      <c r="A76" s="30" t="inlineStr">
        <is>
          <t>JOEL</t>
        </is>
      </c>
      <c r="B76" s="30" t="inlineStr">
        <is>
          <t>HORAS EXTRAS</t>
        </is>
      </c>
      <c r="C76" s="30" t="inlineStr">
        <is>
          <t>Provento</t>
        </is>
      </c>
      <c r="D76" s="34">
        <f>'HOLERITE AGO.26'!E8</f>
        <v/>
      </c>
      <c r="E76" s="41" t="n"/>
    </row>
    <row r="77">
      <c r="A77" s="30" t="inlineStr">
        <is>
          <t>JOEL</t>
        </is>
      </c>
      <c r="B77" s="30" t="inlineStr">
        <is>
          <t>COMISSÃO SOBRE VENDAS</t>
        </is>
      </c>
      <c r="C77" s="30" t="inlineStr">
        <is>
          <t>Provento</t>
        </is>
      </c>
      <c r="D77" s="34">
        <f>'HOLERITE AGO.26'!E11</f>
        <v/>
      </c>
      <c r="E77" s="41" t="n"/>
    </row>
    <row r="78">
      <c r="A78" s="30" t="inlineStr">
        <is>
          <t>JOEL</t>
        </is>
      </c>
      <c r="B78" s="30" t="inlineStr">
        <is>
          <t>REPOUSO REMUNERADO / DSR</t>
        </is>
      </c>
      <c r="C78" s="30" t="inlineStr">
        <is>
          <t>Provento</t>
        </is>
      </c>
      <c r="D78" s="34">
        <f>'HOLERITE AGO.26'!E12</f>
        <v/>
      </c>
      <c r="E78" s="41" t="n"/>
    </row>
    <row r="79">
      <c r="A79" s="30" t="inlineStr">
        <is>
          <t>JOEL</t>
        </is>
      </c>
      <c r="B79" s="30" t="inlineStr">
        <is>
          <t>AUXÍLIO GERÊNCIA</t>
        </is>
      </c>
      <c r="C79" s="30" t="inlineStr">
        <is>
          <t>Provento</t>
        </is>
      </c>
      <c r="D79" s="34">
        <f>'HOLERITE AGO.26'!E13</f>
        <v/>
      </c>
      <c r="E79" s="41" t="n"/>
    </row>
    <row r="80">
      <c r="A80" s="30" t="inlineStr">
        <is>
          <t>JOEL</t>
        </is>
      </c>
      <c r="B80" s="30" t="inlineStr">
        <is>
          <t>ADICIONAL PRÊMIO META CAIXA</t>
        </is>
      </c>
      <c r="C80" s="30" t="inlineStr">
        <is>
          <t>Provento</t>
        </is>
      </c>
      <c r="D80" s="34">
        <f>'HOLERITE AGO.26'!E14</f>
        <v/>
      </c>
      <c r="E80" s="41" t="n"/>
    </row>
    <row r="81">
      <c r="A81" s="30" t="inlineStr">
        <is>
          <t>JOEL</t>
        </is>
      </c>
      <c r="B81" s="30" t="inlineStr">
        <is>
          <t>PRÊMIO COTA GERAL</t>
        </is>
      </c>
      <c r="C81" s="30" t="inlineStr">
        <is>
          <t>Provento</t>
        </is>
      </c>
      <c r="D81" s="34">
        <f>'HOLERITE AGO.26'!E15</f>
        <v/>
      </c>
      <c r="E81" s="41" t="n"/>
    </row>
    <row r="82">
      <c r="A82" s="30" t="inlineStr">
        <is>
          <t>JOEL</t>
        </is>
      </c>
      <c r="B82" s="30" t="inlineStr">
        <is>
          <t>PRÊMIO PRÉ-VENCIDOS</t>
        </is>
      </c>
      <c r="C82" s="30" t="inlineStr">
        <is>
          <t>Provento</t>
        </is>
      </c>
      <c r="D82" s="34">
        <f>'HOLERITE AGO.26'!E16</f>
        <v/>
      </c>
      <c r="E82" s="41" t="n"/>
    </row>
    <row r="83">
      <c r="A83" s="30" t="inlineStr">
        <is>
          <t>JOEL</t>
        </is>
      </c>
      <c r="B83" s="30" t="inlineStr">
        <is>
          <t>INCENTIVO APLICAÇÕES</t>
        </is>
      </c>
      <c r="C83" s="30" t="inlineStr">
        <is>
          <t>Provento</t>
        </is>
      </c>
      <c r="D83" s="34">
        <f>'HOLERITE AGO.26'!E19</f>
        <v/>
      </c>
      <c r="E83" s="41" t="n"/>
    </row>
    <row r="84">
      <c r="A84" s="30" t="inlineStr">
        <is>
          <t>JOEL</t>
        </is>
      </c>
      <c r="B84" s="30" t="inlineStr">
        <is>
          <t>INCENTIVO VITAMINAS</t>
        </is>
      </c>
      <c r="C84" s="30" t="inlineStr">
        <is>
          <t>Provento</t>
        </is>
      </c>
      <c r="D84" s="34">
        <f>'HOLERITE AGO.26'!E20</f>
        <v/>
      </c>
      <c r="E84" s="41" t="n"/>
    </row>
    <row r="85">
      <c r="A85" s="30" t="inlineStr">
        <is>
          <t>JOEL</t>
        </is>
      </c>
      <c r="B85" s="30" t="inlineStr">
        <is>
          <t>OUTROS INCENTIVOS</t>
        </is>
      </c>
      <c r="C85" s="30" t="inlineStr">
        <is>
          <t>Provento</t>
        </is>
      </c>
      <c r="D85" s="34">
        <f>'HOLERITE AGO.26'!E21</f>
        <v/>
      </c>
      <c r="E85" s="41" t="n"/>
    </row>
    <row r="86">
      <c r="A86" s="42" t="inlineStr">
        <is>
          <t>JOEL</t>
        </is>
      </c>
      <c r="B86" s="42" t="inlineStr">
        <is>
          <t>TOTAL DE PROVENTOS</t>
        </is>
      </c>
      <c r="C86" s="42" t="inlineStr">
        <is>
          <t>Subtotal</t>
        </is>
      </c>
      <c r="D86" s="43">
        <f>'HOLERITE AGO.26'!E22</f>
        <v/>
      </c>
      <c r="E86" s="18" t="n"/>
    </row>
    <row r="87">
      <c r="A87" s="30" t="inlineStr">
        <is>
          <t>JOEL</t>
        </is>
      </c>
      <c r="B87" s="30" t="inlineStr">
        <is>
          <t>ADIANTAMENTO / VALES</t>
        </is>
      </c>
      <c r="C87" s="30" t="inlineStr">
        <is>
          <t>Desconto</t>
        </is>
      </c>
      <c r="D87" s="34">
        <f>'HOLERITE AGO.26'!E24</f>
        <v/>
      </c>
      <c r="E87" s="41" t="n"/>
    </row>
    <row r="88">
      <c r="A88" s="30" t="inlineStr">
        <is>
          <t>JOEL</t>
        </is>
      </c>
      <c r="B88" s="30" t="inlineStr">
        <is>
          <t>ADIANT. VALES INCENT. E APLIC.</t>
        </is>
      </c>
      <c r="C88" s="30" t="inlineStr">
        <is>
          <t>Desconto</t>
        </is>
      </c>
      <c r="D88" s="34">
        <f>'HOLERITE AGO.26'!E25</f>
        <v/>
      </c>
      <c r="E88" s="41" t="n"/>
    </row>
    <row r="89">
      <c r="A89" s="30" t="inlineStr">
        <is>
          <t>JOEL</t>
        </is>
      </c>
      <c r="B89" s="30" t="inlineStr">
        <is>
          <t>CONVÊNIO</t>
        </is>
      </c>
      <c r="C89" s="30" t="inlineStr">
        <is>
          <t>Desconto</t>
        </is>
      </c>
      <c r="D89" s="34">
        <f>'HOLERITE AGO.26'!E26</f>
        <v/>
      </c>
      <c r="E89" s="41" t="n"/>
    </row>
    <row r="90">
      <c r="A90" s="30" t="inlineStr">
        <is>
          <t>JOEL</t>
        </is>
      </c>
      <c r="B90" s="30" t="inlineStr">
        <is>
          <t>DESCONTO FALTAS / ATRASOS</t>
        </is>
      </c>
      <c r="C90" s="30" t="inlineStr">
        <is>
          <t>Desconto</t>
        </is>
      </c>
      <c r="D90" s="34">
        <f>'HOLERITE AGO.26'!E27</f>
        <v/>
      </c>
      <c r="E90" s="41" t="n"/>
    </row>
    <row r="91">
      <c r="A91" s="30" t="inlineStr">
        <is>
          <t>JOEL</t>
        </is>
      </c>
      <c r="B91" s="30" t="inlineStr">
        <is>
          <t>DESCONTO VALE TRANSPORTE 6%</t>
        </is>
      </c>
      <c r="C91" s="30" t="inlineStr">
        <is>
          <t>Desconto</t>
        </is>
      </c>
      <c r="D91" s="34">
        <f>'HOLERITE AGO.26'!E28</f>
        <v/>
      </c>
      <c r="E91" s="41" t="n"/>
    </row>
    <row r="92">
      <c r="A92" s="30" t="inlineStr">
        <is>
          <t>JOEL</t>
        </is>
      </c>
      <c r="B92" s="30" t="inlineStr">
        <is>
          <t>DESCONTO INSS</t>
        </is>
      </c>
      <c r="C92" s="30" t="inlineStr">
        <is>
          <t>Desconto</t>
        </is>
      </c>
      <c r="D92" s="34">
        <f>'HOLERITE AGO.26'!E29</f>
        <v/>
      </c>
      <c r="E92" s="41" t="n"/>
    </row>
    <row r="93">
      <c r="A93" s="30" t="inlineStr">
        <is>
          <t>JOEL</t>
        </is>
      </c>
      <c r="B93" s="30" t="inlineStr">
        <is>
          <t>DESCONTO IRRF</t>
        </is>
      </c>
      <c r="C93" s="30" t="inlineStr">
        <is>
          <t>Desconto</t>
        </is>
      </c>
      <c r="D93" s="34">
        <f>'HOLERITE AGO.26'!E30</f>
        <v/>
      </c>
      <c r="E93" s="41" t="n"/>
    </row>
    <row r="94">
      <c r="A94" s="42" t="inlineStr">
        <is>
          <t>JOEL</t>
        </is>
      </c>
      <c r="B94" s="42" t="inlineStr">
        <is>
          <t>TOTAL DE DESCONTOS</t>
        </is>
      </c>
      <c r="C94" s="42" t="inlineStr">
        <is>
          <t>Subtotal</t>
        </is>
      </c>
      <c r="D94" s="43">
        <f>'HOLERITE AGO.26'!E31</f>
        <v/>
      </c>
      <c r="E94" s="18" t="n"/>
    </row>
    <row r="95">
      <c r="A95" s="44" t="inlineStr">
        <is>
          <t>JOEL</t>
        </is>
      </c>
      <c r="B95" s="45" t="inlineStr">
        <is>
          <t>LÍQUIDO A RECEBER</t>
        </is>
      </c>
      <c r="C95" s="45" t="inlineStr">
        <is>
          <t>Líquido</t>
        </is>
      </c>
      <c r="D95" s="46">
        <f>'HOLERITE AGO.26'!E33</f>
        <v/>
      </c>
      <c r="E95" s="47" t="n"/>
    </row>
    <row r="97">
      <c r="A97" s="30" t="inlineStr">
        <is>
          <t>VALÉRIA</t>
        </is>
      </c>
      <c r="B97" s="30" t="inlineStr">
        <is>
          <t>SALÁRIO BASE</t>
        </is>
      </c>
      <c r="C97" s="30" t="inlineStr">
        <is>
          <t>Provento</t>
        </is>
      </c>
      <c r="D97" s="34">
        <f>'HOLERITE AGO.26'!F6</f>
        <v/>
      </c>
      <c r="E97" s="41" t="n"/>
    </row>
    <row r="98">
      <c r="A98" s="30" t="inlineStr">
        <is>
          <t>VALÉRIA</t>
        </is>
      </c>
      <c r="B98" s="30" t="inlineStr">
        <is>
          <t>ADICIONAL NOTURNO</t>
        </is>
      </c>
      <c r="C98" s="30" t="inlineStr">
        <is>
          <t>Provento</t>
        </is>
      </c>
      <c r="D98" s="34">
        <f>'HOLERITE AGO.26'!F7</f>
        <v/>
      </c>
      <c r="E98" s="41" t="n"/>
    </row>
    <row r="99">
      <c r="A99" s="30" t="inlineStr">
        <is>
          <t>VALÉRIA</t>
        </is>
      </c>
      <c r="B99" s="30" t="inlineStr">
        <is>
          <t>HORAS EXTRAS</t>
        </is>
      </c>
      <c r="C99" s="30" t="inlineStr">
        <is>
          <t>Provento</t>
        </is>
      </c>
      <c r="D99" s="34">
        <f>'HOLERITE AGO.26'!F8</f>
        <v/>
      </c>
      <c r="E99" s="41" t="n"/>
    </row>
    <row r="100">
      <c r="A100" s="30" t="inlineStr">
        <is>
          <t>VALÉRIA</t>
        </is>
      </c>
      <c r="B100" s="30" t="inlineStr">
        <is>
          <t>COMISSÃO SOBRE VENDAS</t>
        </is>
      </c>
      <c r="C100" s="30" t="inlineStr">
        <is>
          <t>Provento</t>
        </is>
      </c>
      <c r="D100" s="34">
        <f>'HOLERITE AGO.26'!F11</f>
        <v/>
      </c>
      <c r="E100" s="41" t="n"/>
    </row>
    <row r="101">
      <c r="A101" s="30" t="inlineStr">
        <is>
          <t>VALÉRIA</t>
        </is>
      </c>
      <c r="B101" s="30" t="inlineStr">
        <is>
          <t>REPOUSO REMUNERADO / DSR</t>
        </is>
      </c>
      <c r="C101" s="30" t="inlineStr">
        <is>
          <t>Provento</t>
        </is>
      </c>
      <c r="D101" s="34">
        <f>'HOLERITE AGO.26'!F12</f>
        <v/>
      </c>
      <c r="E101" s="41" t="n"/>
    </row>
    <row r="102">
      <c r="A102" s="30" t="inlineStr">
        <is>
          <t>VALÉRIA</t>
        </is>
      </c>
      <c r="B102" s="30" t="inlineStr">
        <is>
          <t>AUXÍLIO GERÊNCIA</t>
        </is>
      </c>
      <c r="C102" s="30" t="inlineStr">
        <is>
          <t>Provento</t>
        </is>
      </c>
      <c r="D102" s="34">
        <f>'HOLERITE AGO.26'!F13</f>
        <v/>
      </c>
      <c r="E102" s="41" t="n"/>
    </row>
    <row r="103">
      <c r="A103" s="30" t="inlineStr">
        <is>
          <t>VALÉRIA</t>
        </is>
      </c>
      <c r="B103" s="30" t="inlineStr">
        <is>
          <t>ADICIONAL PRÊMIO META CAIXA</t>
        </is>
      </c>
      <c r="C103" s="30" t="inlineStr">
        <is>
          <t>Provento</t>
        </is>
      </c>
      <c r="D103" s="34">
        <f>'HOLERITE AGO.26'!F14</f>
        <v/>
      </c>
      <c r="E103" s="41" t="n"/>
    </row>
    <row r="104">
      <c r="A104" s="30" t="inlineStr">
        <is>
          <t>VALÉRIA</t>
        </is>
      </c>
      <c r="B104" s="30" t="inlineStr">
        <is>
          <t>PRÊMIO COTA GERAL</t>
        </is>
      </c>
      <c r="C104" s="30" t="inlineStr">
        <is>
          <t>Provento</t>
        </is>
      </c>
      <c r="D104" s="34">
        <f>'HOLERITE AGO.26'!F15</f>
        <v/>
      </c>
      <c r="E104" s="41" t="n"/>
    </row>
    <row r="105">
      <c r="A105" s="30" t="inlineStr">
        <is>
          <t>VALÉRIA</t>
        </is>
      </c>
      <c r="B105" s="30" t="inlineStr">
        <is>
          <t>PRÊMIO PRÉ-VENCIDOS</t>
        </is>
      </c>
      <c r="C105" s="30" t="inlineStr">
        <is>
          <t>Provento</t>
        </is>
      </c>
      <c r="D105" s="34">
        <f>'HOLERITE AGO.26'!F16</f>
        <v/>
      </c>
      <c r="E105" s="41" t="n"/>
    </row>
    <row r="106">
      <c r="A106" s="30" t="inlineStr">
        <is>
          <t>VALÉRIA</t>
        </is>
      </c>
      <c r="B106" s="30" t="inlineStr">
        <is>
          <t>INCENTIVO APLICAÇÕES</t>
        </is>
      </c>
      <c r="C106" s="30" t="inlineStr">
        <is>
          <t>Provento</t>
        </is>
      </c>
      <c r="D106" s="34">
        <f>'HOLERITE AGO.26'!F19</f>
        <v/>
      </c>
      <c r="E106" s="41" t="n"/>
    </row>
    <row r="107">
      <c r="A107" s="30" t="inlineStr">
        <is>
          <t>VALÉRIA</t>
        </is>
      </c>
      <c r="B107" s="30" t="inlineStr">
        <is>
          <t>INCENTIVO VITAMINAS</t>
        </is>
      </c>
      <c r="C107" s="30" t="inlineStr">
        <is>
          <t>Provento</t>
        </is>
      </c>
      <c r="D107" s="34">
        <f>'HOLERITE AGO.26'!F20</f>
        <v/>
      </c>
      <c r="E107" s="41" t="n"/>
    </row>
    <row r="108">
      <c r="A108" s="30" t="inlineStr">
        <is>
          <t>VALÉRIA</t>
        </is>
      </c>
      <c r="B108" s="30" t="inlineStr">
        <is>
          <t>OUTROS INCENTIVOS</t>
        </is>
      </c>
      <c r="C108" s="30" t="inlineStr">
        <is>
          <t>Provento</t>
        </is>
      </c>
      <c r="D108" s="34">
        <f>'HOLERITE AGO.26'!F21</f>
        <v/>
      </c>
      <c r="E108" s="41" t="n"/>
    </row>
    <row r="109">
      <c r="A109" s="42" t="inlineStr">
        <is>
          <t>VALÉRIA</t>
        </is>
      </c>
      <c r="B109" s="42" t="inlineStr">
        <is>
          <t>TOTAL DE PROVENTOS</t>
        </is>
      </c>
      <c r="C109" s="42" t="inlineStr">
        <is>
          <t>Subtotal</t>
        </is>
      </c>
      <c r="D109" s="43">
        <f>'HOLERITE AGO.26'!F22</f>
        <v/>
      </c>
      <c r="E109" s="18" t="n"/>
    </row>
    <row r="110">
      <c r="A110" s="30" t="inlineStr">
        <is>
          <t>VALÉRIA</t>
        </is>
      </c>
      <c r="B110" s="30" t="inlineStr">
        <is>
          <t>ADIANTAMENTO / VALES</t>
        </is>
      </c>
      <c r="C110" s="30" t="inlineStr">
        <is>
          <t>Desconto</t>
        </is>
      </c>
      <c r="D110" s="34">
        <f>'HOLERITE AGO.26'!F24</f>
        <v/>
      </c>
      <c r="E110" s="41" t="n"/>
    </row>
    <row r="111">
      <c r="A111" s="30" t="inlineStr">
        <is>
          <t>VALÉRIA</t>
        </is>
      </c>
      <c r="B111" s="30" t="inlineStr">
        <is>
          <t>ADIANT. VALES INCENT. E APLIC.</t>
        </is>
      </c>
      <c r="C111" s="30" t="inlineStr">
        <is>
          <t>Desconto</t>
        </is>
      </c>
      <c r="D111" s="34">
        <f>'HOLERITE AGO.26'!F25</f>
        <v/>
      </c>
      <c r="E111" s="41" t="n"/>
    </row>
    <row r="112">
      <c r="A112" s="30" t="inlineStr">
        <is>
          <t>VALÉRIA</t>
        </is>
      </c>
      <c r="B112" s="30" t="inlineStr">
        <is>
          <t>CONVÊNIO</t>
        </is>
      </c>
      <c r="C112" s="30" t="inlineStr">
        <is>
          <t>Desconto</t>
        </is>
      </c>
      <c r="D112" s="34">
        <f>'HOLERITE AGO.26'!F26</f>
        <v/>
      </c>
      <c r="E112" s="41" t="n"/>
    </row>
    <row r="113">
      <c r="A113" s="30" t="inlineStr">
        <is>
          <t>VALÉRIA</t>
        </is>
      </c>
      <c r="B113" s="30" t="inlineStr">
        <is>
          <t>DESCONTO FALTAS / ATRASOS</t>
        </is>
      </c>
      <c r="C113" s="30" t="inlineStr">
        <is>
          <t>Desconto</t>
        </is>
      </c>
      <c r="D113" s="34">
        <f>'HOLERITE AGO.26'!F27</f>
        <v/>
      </c>
      <c r="E113" s="41" t="n"/>
    </row>
    <row r="114">
      <c r="A114" s="30" t="inlineStr">
        <is>
          <t>VALÉRIA</t>
        </is>
      </c>
      <c r="B114" s="30" t="inlineStr">
        <is>
          <t>DESCONTO VALE TRANSPORTE 6%</t>
        </is>
      </c>
      <c r="C114" s="30" t="inlineStr">
        <is>
          <t>Desconto</t>
        </is>
      </c>
      <c r="D114" s="34">
        <f>'HOLERITE AGO.26'!F28</f>
        <v/>
      </c>
      <c r="E114" s="41" t="n"/>
    </row>
    <row r="115">
      <c r="A115" s="30" t="inlineStr">
        <is>
          <t>VALÉRIA</t>
        </is>
      </c>
      <c r="B115" s="30" t="inlineStr">
        <is>
          <t>DESCONTO INSS</t>
        </is>
      </c>
      <c r="C115" s="30" t="inlineStr">
        <is>
          <t>Desconto</t>
        </is>
      </c>
      <c r="D115" s="34">
        <f>'HOLERITE AGO.26'!F29</f>
        <v/>
      </c>
      <c r="E115" s="41" t="n"/>
    </row>
    <row r="116">
      <c r="A116" s="30" t="inlineStr">
        <is>
          <t>VALÉRIA</t>
        </is>
      </c>
      <c r="B116" s="30" t="inlineStr">
        <is>
          <t>DESCONTO IRRF</t>
        </is>
      </c>
      <c r="C116" s="30" t="inlineStr">
        <is>
          <t>Desconto</t>
        </is>
      </c>
      <c r="D116" s="34">
        <f>'HOLERITE AGO.26'!F30</f>
        <v/>
      </c>
      <c r="E116" s="41" t="n"/>
    </row>
    <row r="117">
      <c r="A117" s="42" t="inlineStr">
        <is>
          <t>VALÉRIA</t>
        </is>
      </c>
      <c r="B117" s="42" t="inlineStr">
        <is>
          <t>TOTAL DE DESCONTOS</t>
        </is>
      </c>
      <c r="C117" s="42" t="inlineStr">
        <is>
          <t>Subtotal</t>
        </is>
      </c>
      <c r="D117" s="43">
        <f>'HOLERITE AGO.26'!F31</f>
        <v/>
      </c>
      <c r="E117" s="18" t="n"/>
    </row>
    <row r="118">
      <c r="A118" s="44" t="inlineStr">
        <is>
          <t>VALÉRIA</t>
        </is>
      </c>
      <c r="B118" s="45" t="inlineStr">
        <is>
          <t>LÍQUIDO A RECEBER</t>
        </is>
      </c>
      <c r="C118" s="45" t="inlineStr">
        <is>
          <t>Líquido</t>
        </is>
      </c>
      <c r="D118" s="46">
        <f>'HOLERITE AGO.26'!F33</f>
        <v/>
      </c>
      <c r="E118" s="47" t="n"/>
    </row>
    <row r="120">
      <c r="A120" s="30" t="inlineStr">
        <is>
          <t>SARA</t>
        </is>
      </c>
      <c r="B120" s="30" t="inlineStr">
        <is>
          <t>SALÁRIO BASE</t>
        </is>
      </c>
      <c r="C120" s="30" t="inlineStr">
        <is>
          <t>Provento</t>
        </is>
      </c>
      <c r="D120" s="34">
        <f>'HOLERITE AGO.26'!G6</f>
        <v/>
      </c>
      <c r="E120" s="41" t="n"/>
    </row>
    <row r="121">
      <c r="A121" s="30" t="inlineStr">
        <is>
          <t>SARA</t>
        </is>
      </c>
      <c r="B121" s="30" t="inlineStr">
        <is>
          <t>ADICIONAL NOTURNO</t>
        </is>
      </c>
      <c r="C121" s="30" t="inlineStr">
        <is>
          <t>Provento</t>
        </is>
      </c>
      <c r="D121" s="34">
        <f>'HOLERITE AGO.26'!G7</f>
        <v/>
      </c>
      <c r="E121" s="41" t="n"/>
    </row>
    <row r="122">
      <c r="A122" s="30" t="inlineStr">
        <is>
          <t>SARA</t>
        </is>
      </c>
      <c r="B122" s="30" t="inlineStr">
        <is>
          <t>HORAS EXTRAS</t>
        </is>
      </c>
      <c r="C122" s="30" t="inlineStr">
        <is>
          <t>Provento</t>
        </is>
      </c>
      <c r="D122" s="34">
        <f>'HOLERITE AGO.26'!G8</f>
        <v/>
      </c>
      <c r="E122" s="41" t="n"/>
    </row>
    <row r="123">
      <c r="A123" s="30" t="inlineStr">
        <is>
          <t>SARA</t>
        </is>
      </c>
      <c r="B123" s="30" t="inlineStr">
        <is>
          <t>COMISSÃO SOBRE VENDAS</t>
        </is>
      </c>
      <c r="C123" s="30" t="inlineStr">
        <is>
          <t>Provento</t>
        </is>
      </c>
      <c r="D123" s="34">
        <f>'HOLERITE AGO.26'!G11</f>
        <v/>
      </c>
      <c r="E123" s="41" t="n"/>
    </row>
    <row r="124">
      <c r="A124" s="30" t="inlineStr">
        <is>
          <t>SARA</t>
        </is>
      </c>
      <c r="B124" s="30" t="inlineStr">
        <is>
          <t>REPOUSO REMUNERADO / DSR</t>
        </is>
      </c>
      <c r="C124" s="30" t="inlineStr">
        <is>
          <t>Provento</t>
        </is>
      </c>
      <c r="D124" s="34">
        <f>'HOLERITE AGO.26'!G12</f>
        <v/>
      </c>
      <c r="E124" s="41" t="n"/>
    </row>
    <row r="125">
      <c r="A125" s="30" t="inlineStr">
        <is>
          <t>SARA</t>
        </is>
      </c>
      <c r="B125" s="30" t="inlineStr">
        <is>
          <t>AUXÍLIO GERÊNCIA</t>
        </is>
      </c>
      <c r="C125" s="30" t="inlineStr">
        <is>
          <t>Provento</t>
        </is>
      </c>
      <c r="D125" s="34">
        <f>'HOLERITE AGO.26'!G13</f>
        <v/>
      </c>
      <c r="E125" s="41" t="n"/>
    </row>
    <row r="126">
      <c r="A126" s="30" t="inlineStr">
        <is>
          <t>SARA</t>
        </is>
      </c>
      <c r="B126" s="30" t="inlineStr">
        <is>
          <t>ADICIONAL PRÊMIO META CAIXA</t>
        </is>
      </c>
      <c r="C126" s="30" t="inlineStr">
        <is>
          <t>Provento</t>
        </is>
      </c>
      <c r="D126" s="34">
        <f>'HOLERITE AGO.26'!G14</f>
        <v/>
      </c>
      <c r="E126" s="41" t="n"/>
    </row>
    <row r="127">
      <c r="A127" s="30" t="inlineStr">
        <is>
          <t>SARA</t>
        </is>
      </c>
      <c r="B127" s="30" t="inlineStr">
        <is>
          <t>PRÊMIO COTA GERAL</t>
        </is>
      </c>
      <c r="C127" s="30" t="inlineStr">
        <is>
          <t>Provento</t>
        </is>
      </c>
      <c r="D127" s="34">
        <f>'HOLERITE AGO.26'!G15</f>
        <v/>
      </c>
      <c r="E127" s="41" t="n"/>
    </row>
    <row r="128">
      <c r="A128" s="30" t="inlineStr">
        <is>
          <t>SARA</t>
        </is>
      </c>
      <c r="B128" s="30" t="inlineStr">
        <is>
          <t>PRÊMIO PRÉ-VENCIDOS</t>
        </is>
      </c>
      <c r="C128" s="30" t="inlineStr">
        <is>
          <t>Provento</t>
        </is>
      </c>
      <c r="D128" s="34">
        <f>'HOLERITE AGO.26'!G16</f>
        <v/>
      </c>
      <c r="E128" s="41" t="n"/>
    </row>
    <row r="129">
      <c r="A129" s="30" t="inlineStr">
        <is>
          <t>SARA</t>
        </is>
      </c>
      <c r="B129" s="30" t="inlineStr">
        <is>
          <t>INCENTIVO APLICAÇÕES</t>
        </is>
      </c>
      <c r="C129" s="30" t="inlineStr">
        <is>
          <t>Provento</t>
        </is>
      </c>
      <c r="D129" s="34">
        <f>'HOLERITE AGO.26'!G19</f>
        <v/>
      </c>
      <c r="E129" s="41" t="n"/>
    </row>
    <row r="130">
      <c r="A130" s="30" t="inlineStr">
        <is>
          <t>SARA</t>
        </is>
      </c>
      <c r="B130" s="30" t="inlineStr">
        <is>
          <t>INCENTIVO VITAMINAS</t>
        </is>
      </c>
      <c r="C130" s="30" t="inlineStr">
        <is>
          <t>Provento</t>
        </is>
      </c>
      <c r="D130" s="34">
        <f>'HOLERITE AGO.26'!G20</f>
        <v/>
      </c>
      <c r="E130" s="41" t="n"/>
    </row>
    <row r="131">
      <c r="A131" s="30" t="inlineStr">
        <is>
          <t>SARA</t>
        </is>
      </c>
      <c r="B131" s="30" t="inlineStr">
        <is>
          <t>OUTROS INCENTIVOS</t>
        </is>
      </c>
      <c r="C131" s="30" t="inlineStr">
        <is>
          <t>Provento</t>
        </is>
      </c>
      <c r="D131" s="34">
        <f>'HOLERITE AGO.26'!G21</f>
        <v/>
      </c>
      <c r="E131" s="41" t="n"/>
    </row>
    <row r="132">
      <c r="A132" s="42" t="inlineStr">
        <is>
          <t>SARA</t>
        </is>
      </c>
      <c r="B132" s="42" t="inlineStr">
        <is>
          <t>TOTAL DE PROVENTOS</t>
        </is>
      </c>
      <c r="C132" s="42" t="inlineStr">
        <is>
          <t>Subtotal</t>
        </is>
      </c>
      <c r="D132" s="43">
        <f>'HOLERITE AGO.26'!G22</f>
        <v/>
      </c>
      <c r="E132" s="18" t="n"/>
    </row>
    <row r="133">
      <c r="A133" s="30" t="inlineStr">
        <is>
          <t>SARA</t>
        </is>
      </c>
      <c r="B133" s="30" t="inlineStr">
        <is>
          <t>ADIANTAMENTO / VALES</t>
        </is>
      </c>
      <c r="C133" s="30" t="inlineStr">
        <is>
          <t>Desconto</t>
        </is>
      </c>
      <c r="D133" s="34">
        <f>'HOLERITE AGO.26'!G24</f>
        <v/>
      </c>
      <c r="E133" s="41" t="n"/>
    </row>
    <row r="134">
      <c r="A134" s="30" t="inlineStr">
        <is>
          <t>SARA</t>
        </is>
      </c>
      <c r="B134" s="30" t="inlineStr">
        <is>
          <t>ADIANT. VALES INCENT. E APLIC.</t>
        </is>
      </c>
      <c r="C134" s="30" t="inlineStr">
        <is>
          <t>Desconto</t>
        </is>
      </c>
      <c r="D134" s="34">
        <f>'HOLERITE AGO.26'!G25</f>
        <v/>
      </c>
      <c r="E134" s="41" t="n"/>
    </row>
    <row r="135">
      <c r="A135" s="30" t="inlineStr">
        <is>
          <t>SARA</t>
        </is>
      </c>
      <c r="B135" s="30" t="inlineStr">
        <is>
          <t>CONVÊNIO</t>
        </is>
      </c>
      <c r="C135" s="30" t="inlineStr">
        <is>
          <t>Desconto</t>
        </is>
      </c>
      <c r="D135" s="34">
        <f>'HOLERITE AGO.26'!G26</f>
        <v/>
      </c>
      <c r="E135" s="41" t="n"/>
    </row>
    <row r="136">
      <c r="A136" s="30" t="inlineStr">
        <is>
          <t>SARA</t>
        </is>
      </c>
      <c r="B136" s="30" t="inlineStr">
        <is>
          <t>DESCONTO FALTAS / ATRASOS</t>
        </is>
      </c>
      <c r="C136" s="30" t="inlineStr">
        <is>
          <t>Desconto</t>
        </is>
      </c>
      <c r="D136" s="34">
        <f>'HOLERITE AGO.26'!G27</f>
        <v/>
      </c>
      <c r="E136" s="41" t="n"/>
    </row>
    <row r="137">
      <c r="A137" s="30" t="inlineStr">
        <is>
          <t>SARA</t>
        </is>
      </c>
      <c r="B137" s="30" t="inlineStr">
        <is>
          <t>DESCONTO VALE TRANSPORTE 6%</t>
        </is>
      </c>
      <c r="C137" s="30" t="inlineStr">
        <is>
          <t>Desconto</t>
        </is>
      </c>
      <c r="D137" s="34">
        <f>'HOLERITE AGO.26'!G28</f>
        <v/>
      </c>
      <c r="E137" s="41" t="n"/>
    </row>
    <row r="138">
      <c r="A138" s="30" t="inlineStr">
        <is>
          <t>SARA</t>
        </is>
      </c>
      <c r="B138" s="30" t="inlineStr">
        <is>
          <t>DESCONTO INSS</t>
        </is>
      </c>
      <c r="C138" s="30" t="inlineStr">
        <is>
          <t>Desconto</t>
        </is>
      </c>
      <c r="D138" s="34">
        <f>'HOLERITE AGO.26'!G29</f>
        <v/>
      </c>
      <c r="E138" s="41" t="n"/>
    </row>
    <row r="139">
      <c r="A139" s="30" t="inlineStr">
        <is>
          <t>SARA</t>
        </is>
      </c>
      <c r="B139" s="30" t="inlineStr">
        <is>
          <t>DESCONTO IRRF</t>
        </is>
      </c>
      <c r="C139" s="30" t="inlineStr">
        <is>
          <t>Desconto</t>
        </is>
      </c>
      <c r="D139" s="34">
        <f>'HOLERITE AGO.26'!G30</f>
        <v/>
      </c>
      <c r="E139" s="41" t="n"/>
    </row>
    <row r="140">
      <c r="A140" s="42" t="inlineStr">
        <is>
          <t>SARA</t>
        </is>
      </c>
      <c r="B140" s="42" t="inlineStr">
        <is>
          <t>TOTAL DE DESCONTOS</t>
        </is>
      </c>
      <c r="C140" s="42" t="inlineStr">
        <is>
          <t>Subtotal</t>
        </is>
      </c>
      <c r="D140" s="43">
        <f>'HOLERITE AGO.26'!G31</f>
        <v/>
      </c>
      <c r="E140" s="18" t="n"/>
    </row>
    <row r="141">
      <c r="A141" s="44" t="inlineStr">
        <is>
          <t>SARA</t>
        </is>
      </c>
      <c r="B141" s="45" t="inlineStr">
        <is>
          <t>LÍQUIDO A RECEBER</t>
        </is>
      </c>
      <c r="C141" s="45" t="inlineStr">
        <is>
          <t>Líquido</t>
        </is>
      </c>
      <c r="D141" s="46">
        <f>'HOLERITE AGO.26'!G33</f>
        <v/>
      </c>
      <c r="E141" s="47" t="n"/>
    </row>
    <row r="143">
      <c r="A143" s="30" t="inlineStr">
        <is>
          <t>CAMILA</t>
        </is>
      </c>
      <c r="B143" s="30" t="inlineStr">
        <is>
          <t>SALÁRIO BASE</t>
        </is>
      </c>
      <c r="C143" s="30" t="inlineStr">
        <is>
          <t>Provento</t>
        </is>
      </c>
      <c r="D143" s="34">
        <f>'HOLERITE AGO.26'!H6</f>
        <v/>
      </c>
      <c r="E143" s="41" t="n"/>
    </row>
    <row r="144">
      <c r="A144" s="30" t="inlineStr">
        <is>
          <t>CAMILA</t>
        </is>
      </c>
      <c r="B144" s="30" t="inlineStr">
        <is>
          <t>ADICIONAL NOTURNO</t>
        </is>
      </c>
      <c r="C144" s="30" t="inlineStr">
        <is>
          <t>Provento</t>
        </is>
      </c>
      <c r="D144" s="34">
        <f>'HOLERITE AGO.26'!H7</f>
        <v/>
      </c>
      <c r="E144" s="41" t="n"/>
    </row>
    <row r="145">
      <c r="A145" s="30" t="inlineStr">
        <is>
          <t>CAMILA</t>
        </is>
      </c>
      <c r="B145" s="30" t="inlineStr">
        <is>
          <t>HORAS EXTRAS</t>
        </is>
      </c>
      <c r="C145" s="30" t="inlineStr">
        <is>
          <t>Provento</t>
        </is>
      </c>
      <c r="D145" s="34">
        <f>'HOLERITE AGO.26'!H8</f>
        <v/>
      </c>
      <c r="E145" s="41" t="n"/>
    </row>
    <row r="146">
      <c r="A146" s="30" t="inlineStr">
        <is>
          <t>CAMILA</t>
        </is>
      </c>
      <c r="B146" s="30" t="inlineStr">
        <is>
          <t>COMISSÃO SOBRE VENDAS</t>
        </is>
      </c>
      <c r="C146" s="30" t="inlineStr">
        <is>
          <t>Provento</t>
        </is>
      </c>
      <c r="D146" s="34">
        <f>'HOLERITE AGO.26'!H11</f>
        <v/>
      </c>
      <c r="E146" s="41" t="n"/>
    </row>
    <row r="147">
      <c r="A147" s="30" t="inlineStr">
        <is>
          <t>CAMILA</t>
        </is>
      </c>
      <c r="B147" s="30" t="inlineStr">
        <is>
          <t>REPOUSO REMUNERADO / DSR</t>
        </is>
      </c>
      <c r="C147" s="30" t="inlineStr">
        <is>
          <t>Provento</t>
        </is>
      </c>
      <c r="D147" s="34">
        <f>'HOLERITE AGO.26'!H12</f>
        <v/>
      </c>
      <c r="E147" s="41" t="n"/>
    </row>
    <row r="148">
      <c r="A148" s="30" t="inlineStr">
        <is>
          <t>CAMILA</t>
        </is>
      </c>
      <c r="B148" s="30" t="inlineStr">
        <is>
          <t>AUXÍLIO GERÊNCIA</t>
        </is>
      </c>
      <c r="C148" s="30" t="inlineStr">
        <is>
          <t>Provento</t>
        </is>
      </c>
      <c r="D148" s="34">
        <f>'HOLERITE AGO.26'!H13</f>
        <v/>
      </c>
      <c r="E148" s="41" t="n"/>
    </row>
    <row r="149">
      <c r="A149" s="30" t="inlineStr">
        <is>
          <t>CAMILA</t>
        </is>
      </c>
      <c r="B149" s="30" t="inlineStr">
        <is>
          <t>ADICIONAL PRÊMIO META CAIXA</t>
        </is>
      </c>
      <c r="C149" s="30" t="inlineStr">
        <is>
          <t>Provento</t>
        </is>
      </c>
      <c r="D149" s="34">
        <f>'HOLERITE AGO.26'!H14</f>
        <v/>
      </c>
      <c r="E149" s="41" t="n"/>
    </row>
    <row r="150">
      <c r="A150" s="30" t="inlineStr">
        <is>
          <t>CAMILA</t>
        </is>
      </c>
      <c r="B150" s="30" t="inlineStr">
        <is>
          <t>PRÊMIO COTA GERAL</t>
        </is>
      </c>
      <c r="C150" s="30" t="inlineStr">
        <is>
          <t>Provento</t>
        </is>
      </c>
      <c r="D150" s="34">
        <f>'HOLERITE AGO.26'!H15</f>
        <v/>
      </c>
      <c r="E150" s="41" t="n"/>
    </row>
    <row r="151">
      <c r="A151" s="30" t="inlineStr">
        <is>
          <t>CAMILA</t>
        </is>
      </c>
      <c r="B151" s="30" t="inlineStr">
        <is>
          <t>PRÊMIO PRÉ-VENCIDOS</t>
        </is>
      </c>
      <c r="C151" s="30" t="inlineStr">
        <is>
          <t>Provento</t>
        </is>
      </c>
      <c r="D151" s="34">
        <f>'HOLERITE AGO.26'!H16</f>
        <v/>
      </c>
      <c r="E151" s="41" t="n"/>
    </row>
    <row r="152">
      <c r="A152" s="30" t="inlineStr">
        <is>
          <t>CAMILA</t>
        </is>
      </c>
      <c r="B152" s="30" t="inlineStr">
        <is>
          <t>INCENTIVO APLICAÇÕES</t>
        </is>
      </c>
      <c r="C152" s="30" t="inlineStr">
        <is>
          <t>Provento</t>
        </is>
      </c>
      <c r="D152" s="34">
        <f>'HOLERITE AGO.26'!H19</f>
        <v/>
      </c>
      <c r="E152" s="41" t="n"/>
    </row>
    <row r="153">
      <c r="A153" s="30" t="inlineStr">
        <is>
          <t>CAMILA</t>
        </is>
      </c>
      <c r="B153" s="30" t="inlineStr">
        <is>
          <t>INCENTIVO VITAMINAS</t>
        </is>
      </c>
      <c r="C153" s="30" t="inlineStr">
        <is>
          <t>Provento</t>
        </is>
      </c>
      <c r="D153" s="34">
        <f>'HOLERITE AGO.26'!H20</f>
        <v/>
      </c>
      <c r="E153" s="41" t="n"/>
    </row>
    <row r="154">
      <c r="A154" s="30" t="inlineStr">
        <is>
          <t>CAMILA</t>
        </is>
      </c>
      <c r="B154" s="30" t="inlineStr">
        <is>
          <t>OUTROS INCENTIVOS</t>
        </is>
      </c>
      <c r="C154" s="30" t="inlineStr">
        <is>
          <t>Provento</t>
        </is>
      </c>
      <c r="D154" s="34">
        <f>'HOLERITE AGO.26'!H21</f>
        <v/>
      </c>
      <c r="E154" s="41" t="n"/>
    </row>
    <row r="155">
      <c r="A155" s="42" t="inlineStr">
        <is>
          <t>CAMILA</t>
        </is>
      </c>
      <c r="B155" s="42" t="inlineStr">
        <is>
          <t>TOTAL DE PROVENTOS</t>
        </is>
      </c>
      <c r="C155" s="42" t="inlineStr">
        <is>
          <t>Subtotal</t>
        </is>
      </c>
      <c r="D155" s="43">
        <f>'HOLERITE AGO.26'!H22</f>
        <v/>
      </c>
      <c r="E155" s="18" t="n"/>
    </row>
    <row r="156">
      <c r="A156" s="30" t="inlineStr">
        <is>
          <t>CAMILA</t>
        </is>
      </c>
      <c r="B156" s="30" t="inlineStr">
        <is>
          <t>ADIANTAMENTO / VALES</t>
        </is>
      </c>
      <c r="C156" s="30" t="inlineStr">
        <is>
          <t>Desconto</t>
        </is>
      </c>
      <c r="D156" s="34">
        <f>'HOLERITE AGO.26'!H24</f>
        <v/>
      </c>
      <c r="E156" s="41" t="n"/>
    </row>
    <row r="157">
      <c r="A157" s="30" t="inlineStr">
        <is>
          <t>CAMILA</t>
        </is>
      </c>
      <c r="B157" s="30" t="inlineStr">
        <is>
          <t>ADIANT. VALES INCENT. E APLIC.</t>
        </is>
      </c>
      <c r="C157" s="30" t="inlineStr">
        <is>
          <t>Desconto</t>
        </is>
      </c>
      <c r="D157" s="34">
        <f>'HOLERITE AGO.26'!H25</f>
        <v/>
      </c>
      <c r="E157" s="41" t="n"/>
    </row>
    <row r="158">
      <c r="A158" s="30" t="inlineStr">
        <is>
          <t>CAMILA</t>
        </is>
      </c>
      <c r="B158" s="30" t="inlineStr">
        <is>
          <t>CONVÊNIO</t>
        </is>
      </c>
      <c r="C158" s="30" t="inlineStr">
        <is>
          <t>Desconto</t>
        </is>
      </c>
      <c r="D158" s="34">
        <f>'HOLERITE AGO.26'!H26</f>
        <v/>
      </c>
      <c r="E158" s="41" t="n"/>
    </row>
    <row r="159">
      <c r="A159" s="30" t="inlineStr">
        <is>
          <t>CAMILA</t>
        </is>
      </c>
      <c r="B159" s="30" t="inlineStr">
        <is>
          <t>DESCONTO FALTAS / ATRASOS</t>
        </is>
      </c>
      <c r="C159" s="30" t="inlineStr">
        <is>
          <t>Desconto</t>
        </is>
      </c>
      <c r="D159" s="34">
        <f>'HOLERITE AGO.26'!H27</f>
        <v/>
      </c>
      <c r="E159" s="41" t="n"/>
    </row>
    <row r="160">
      <c r="A160" s="30" t="inlineStr">
        <is>
          <t>CAMILA</t>
        </is>
      </c>
      <c r="B160" s="30" t="inlineStr">
        <is>
          <t>DESCONTO VALE TRANSPORTE 6%</t>
        </is>
      </c>
      <c r="C160" s="30" t="inlineStr">
        <is>
          <t>Desconto</t>
        </is>
      </c>
      <c r="D160" s="34">
        <f>'HOLERITE AGO.26'!H28</f>
        <v/>
      </c>
      <c r="E160" s="41" t="n"/>
    </row>
    <row r="161">
      <c r="A161" s="30" t="inlineStr">
        <is>
          <t>CAMILA</t>
        </is>
      </c>
      <c r="B161" s="30" t="inlineStr">
        <is>
          <t>DESCONTO INSS</t>
        </is>
      </c>
      <c r="C161" s="30" t="inlineStr">
        <is>
          <t>Desconto</t>
        </is>
      </c>
      <c r="D161" s="34">
        <f>'HOLERITE AGO.26'!H29</f>
        <v/>
      </c>
      <c r="E161" s="41" t="n"/>
    </row>
    <row r="162">
      <c r="A162" s="30" t="inlineStr">
        <is>
          <t>CAMILA</t>
        </is>
      </c>
      <c r="B162" s="30" t="inlineStr">
        <is>
          <t>DESCONTO IRRF</t>
        </is>
      </c>
      <c r="C162" s="30" t="inlineStr">
        <is>
          <t>Desconto</t>
        </is>
      </c>
      <c r="D162" s="34">
        <f>'HOLERITE AGO.26'!H30</f>
        <v/>
      </c>
      <c r="E162" s="41" t="n"/>
    </row>
    <row r="163">
      <c r="A163" s="42" t="inlineStr">
        <is>
          <t>CAMILA</t>
        </is>
      </c>
      <c r="B163" s="42" t="inlineStr">
        <is>
          <t>TOTAL DE DESCONTOS</t>
        </is>
      </c>
      <c r="C163" s="42" t="inlineStr">
        <is>
          <t>Subtotal</t>
        </is>
      </c>
      <c r="D163" s="43">
        <f>'HOLERITE AGO.26'!H31</f>
        <v/>
      </c>
      <c r="E163" s="18" t="n"/>
    </row>
    <row r="164">
      <c r="A164" s="44" t="inlineStr">
        <is>
          <t>CAMILA</t>
        </is>
      </c>
      <c r="B164" s="45" t="inlineStr">
        <is>
          <t>LÍQUIDO A RECEBER</t>
        </is>
      </c>
      <c r="C164" s="45" t="inlineStr">
        <is>
          <t>Líquido</t>
        </is>
      </c>
      <c r="D164" s="46">
        <f>'HOLERITE AGO.26'!H33</f>
        <v/>
      </c>
      <c r="E164" s="47" t="n"/>
    </row>
    <row r="166">
      <c r="A166" s="30" t="inlineStr">
        <is>
          <t>NATI</t>
        </is>
      </c>
      <c r="B166" s="30" t="inlineStr">
        <is>
          <t>SALÁRIO BASE</t>
        </is>
      </c>
      <c r="C166" s="30" t="inlineStr">
        <is>
          <t>Provento</t>
        </is>
      </c>
      <c r="D166" s="34">
        <f>'HOLERITE AGO.26'!I6</f>
        <v/>
      </c>
      <c r="E166" s="41" t="n"/>
    </row>
    <row r="167">
      <c r="A167" s="30" t="inlineStr">
        <is>
          <t>NATI</t>
        </is>
      </c>
      <c r="B167" s="30" t="inlineStr">
        <is>
          <t>ADICIONAL NOTURNO</t>
        </is>
      </c>
      <c r="C167" s="30" t="inlineStr">
        <is>
          <t>Provento</t>
        </is>
      </c>
      <c r="D167" s="34">
        <f>'HOLERITE AGO.26'!I7</f>
        <v/>
      </c>
      <c r="E167" s="41" t="n"/>
    </row>
    <row r="168">
      <c r="A168" s="30" t="inlineStr">
        <is>
          <t>NATI</t>
        </is>
      </c>
      <c r="B168" s="30" t="inlineStr">
        <is>
          <t>HORAS EXTRAS</t>
        </is>
      </c>
      <c r="C168" s="30" t="inlineStr">
        <is>
          <t>Provento</t>
        </is>
      </c>
      <c r="D168" s="34">
        <f>'HOLERITE AGO.26'!I8</f>
        <v/>
      </c>
      <c r="E168" s="41" t="n"/>
    </row>
    <row r="169">
      <c r="A169" s="30" t="inlineStr">
        <is>
          <t>NATI</t>
        </is>
      </c>
      <c r="B169" s="30" t="inlineStr">
        <is>
          <t>COMISSÃO SOBRE VENDAS</t>
        </is>
      </c>
      <c r="C169" s="30" t="inlineStr">
        <is>
          <t>Provento</t>
        </is>
      </c>
      <c r="D169" s="34">
        <f>'HOLERITE AGO.26'!I11</f>
        <v/>
      </c>
      <c r="E169" s="41" t="n"/>
    </row>
    <row r="170">
      <c r="A170" s="30" t="inlineStr">
        <is>
          <t>NATI</t>
        </is>
      </c>
      <c r="B170" s="30" t="inlineStr">
        <is>
          <t>REPOUSO REMUNERADO / DSR</t>
        </is>
      </c>
      <c r="C170" s="30" t="inlineStr">
        <is>
          <t>Provento</t>
        </is>
      </c>
      <c r="D170" s="34">
        <f>'HOLERITE AGO.26'!I12</f>
        <v/>
      </c>
      <c r="E170" s="41" t="n"/>
    </row>
    <row r="171">
      <c r="A171" s="30" t="inlineStr">
        <is>
          <t>NATI</t>
        </is>
      </c>
      <c r="B171" s="30" t="inlineStr">
        <is>
          <t>AUXÍLIO GERÊNCIA</t>
        </is>
      </c>
      <c r="C171" s="30" t="inlineStr">
        <is>
          <t>Provento</t>
        </is>
      </c>
      <c r="D171" s="34">
        <f>'HOLERITE AGO.26'!I13</f>
        <v/>
      </c>
      <c r="E171" s="41" t="n"/>
    </row>
    <row r="172">
      <c r="A172" s="30" t="inlineStr">
        <is>
          <t>NATI</t>
        </is>
      </c>
      <c r="B172" s="30" t="inlineStr">
        <is>
          <t>ADICIONAL PRÊMIO META CAIXA</t>
        </is>
      </c>
      <c r="C172" s="30" t="inlineStr">
        <is>
          <t>Provento</t>
        </is>
      </c>
      <c r="D172" s="34">
        <f>'HOLERITE AGO.26'!I14</f>
        <v/>
      </c>
      <c r="E172" s="41" t="n"/>
    </row>
    <row r="173">
      <c r="A173" s="30" t="inlineStr">
        <is>
          <t>NATI</t>
        </is>
      </c>
      <c r="B173" s="30" t="inlineStr">
        <is>
          <t>PRÊMIO COTA GERAL</t>
        </is>
      </c>
      <c r="C173" s="30" t="inlineStr">
        <is>
          <t>Provento</t>
        </is>
      </c>
      <c r="D173" s="34">
        <f>'HOLERITE AGO.26'!I15</f>
        <v/>
      </c>
      <c r="E173" s="41" t="n"/>
    </row>
    <row r="174">
      <c r="A174" s="30" t="inlineStr">
        <is>
          <t>NATI</t>
        </is>
      </c>
      <c r="B174" s="30" t="inlineStr">
        <is>
          <t>PRÊMIO PRÉ-VENCIDOS</t>
        </is>
      </c>
      <c r="C174" s="30" t="inlineStr">
        <is>
          <t>Provento</t>
        </is>
      </c>
      <c r="D174" s="34">
        <f>'HOLERITE AGO.26'!I16</f>
        <v/>
      </c>
      <c r="E174" s="41" t="n"/>
    </row>
    <row r="175">
      <c r="A175" s="30" t="inlineStr">
        <is>
          <t>NATI</t>
        </is>
      </c>
      <c r="B175" s="30" t="inlineStr">
        <is>
          <t>INCENTIVO APLICAÇÕES</t>
        </is>
      </c>
      <c r="C175" s="30" t="inlineStr">
        <is>
          <t>Provento</t>
        </is>
      </c>
      <c r="D175" s="34">
        <f>'HOLERITE AGO.26'!I19</f>
        <v/>
      </c>
      <c r="E175" s="41" t="n"/>
    </row>
    <row r="176">
      <c r="A176" s="30" t="inlineStr">
        <is>
          <t>NATI</t>
        </is>
      </c>
      <c r="B176" s="30" t="inlineStr">
        <is>
          <t>INCENTIVO VITAMINAS</t>
        </is>
      </c>
      <c r="C176" s="30" t="inlineStr">
        <is>
          <t>Provento</t>
        </is>
      </c>
      <c r="D176" s="34">
        <f>'HOLERITE AGO.26'!I20</f>
        <v/>
      </c>
      <c r="E176" s="41" t="n"/>
    </row>
    <row r="177">
      <c r="A177" s="30" t="inlineStr">
        <is>
          <t>NATI</t>
        </is>
      </c>
      <c r="B177" s="30" t="inlineStr">
        <is>
          <t>OUTROS INCENTIVOS</t>
        </is>
      </c>
      <c r="C177" s="30" t="inlineStr">
        <is>
          <t>Provento</t>
        </is>
      </c>
      <c r="D177" s="34">
        <f>'HOLERITE AGO.26'!I21</f>
        <v/>
      </c>
      <c r="E177" s="41" t="n"/>
    </row>
    <row r="178">
      <c r="A178" s="42" t="inlineStr">
        <is>
          <t>NATI</t>
        </is>
      </c>
      <c r="B178" s="42" t="inlineStr">
        <is>
          <t>TOTAL DE PROVENTOS</t>
        </is>
      </c>
      <c r="C178" s="42" t="inlineStr">
        <is>
          <t>Subtotal</t>
        </is>
      </c>
      <c r="D178" s="43">
        <f>'HOLERITE AGO.26'!I22</f>
        <v/>
      </c>
      <c r="E178" s="18" t="n"/>
    </row>
    <row r="179">
      <c r="A179" s="30" t="inlineStr">
        <is>
          <t>NATI</t>
        </is>
      </c>
      <c r="B179" s="30" t="inlineStr">
        <is>
          <t>ADIANTAMENTO / VALES</t>
        </is>
      </c>
      <c r="C179" s="30" t="inlineStr">
        <is>
          <t>Desconto</t>
        </is>
      </c>
      <c r="D179" s="34">
        <f>'HOLERITE AGO.26'!I24</f>
        <v/>
      </c>
      <c r="E179" s="41" t="n"/>
    </row>
    <row r="180">
      <c r="A180" s="30" t="inlineStr">
        <is>
          <t>NATI</t>
        </is>
      </c>
      <c r="B180" s="30" t="inlineStr">
        <is>
          <t>ADIANT. VALES INCENT. E APLIC.</t>
        </is>
      </c>
      <c r="C180" s="30" t="inlineStr">
        <is>
          <t>Desconto</t>
        </is>
      </c>
      <c r="D180" s="34">
        <f>'HOLERITE AGO.26'!I25</f>
        <v/>
      </c>
      <c r="E180" s="41" t="n"/>
    </row>
    <row r="181">
      <c r="A181" s="30" t="inlineStr">
        <is>
          <t>NATI</t>
        </is>
      </c>
      <c r="B181" s="30" t="inlineStr">
        <is>
          <t>CONVÊNIO</t>
        </is>
      </c>
      <c r="C181" s="30" t="inlineStr">
        <is>
          <t>Desconto</t>
        </is>
      </c>
      <c r="D181" s="34">
        <f>'HOLERITE AGO.26'!I26</f>
        <v/>
      </c>
      <c r="E181" s="41" t="n"/>
    </row>
    <row r="182">
      <c r="A182" s="30" t="inlineStr">
        <is>
          <t>NATI</t>
        </is>
      </c>
      <c r="B182" s="30" t="inlineStr">
        <is>
          <t>DESCONTO FALTAS / ATRASOS</t>
        </is>
      </c>
      <c r="C182" s="30" t="inlineStr">
        <is>
          <t>Desconto</t>
        </is>
      </c>
      <c r="D182" s="34">
        <f>'HOLERITE AGO.26'!I27</f>
        <v/>
      </c>
      <c r="E182" s="41" t="n"/>
    </row>
    <row r="183">
      <c r="A183" s="30" t="inlineStr">
        <is>
          <t>NATI</t>
        </is>
      </c>
      <c r="B183" s="30" t="inlineStr">
        <is>
          <t>DESCONTO VALE TRANSPORTE 6%</t>
        </is>
      </c>
      <c r="C183" s="30" t="inlineStr">
        <is>
          <t>Desconto</t>
        </is>
      </c>
      <c r="D183" s="34">
        <f>'HOLERITE AGO.26'!I28</f>
        <v/>
      </c>
      <c r="E183" s="41" t="n"/>
    </row>
    <row r="184">
      <c r="A184" s="30" t="inlineStr">
        <is>
          <t>NATI</t>
        </is>
      </c>
      <c r="B184" s="30" t="inlineStr">
        <is>
          <t>DESCONTO INSS</t>
        </is>
      </c>
      <c r="C184" s="30" t="inlineStr">
        <is>
          <t>Desconto</t>
        </is>
      </c>
      <c r="D184" s="34">
        <f>'HOLERITE AGO.26'!I29</f>
        <v/>
      </c>
      <c r="E184" s="41" t="n"/>
    </row>
    <row r="185">
      <c r="A185" s="30" t="inlineStr">
        <is>
          <t>NATI</t>
        </is>
      </c>
      <c r="B185" s="30" t="inlineStr">
        <is>
          <t>DESCONTO IRRF</t>
        </is>
      </c>
      <c r="C185" s="30" t="inlineStr">
        <is>
          <t>Desconto</t>
        </is>
      </c>
      <c r="D185" s="34">
        <f>'HOLERITE AGO.26'!I30</f>
        <v/>
      </c>
      <c r="E185" s="41" t="n"/>
    </row>
    <row r="186">
      <c r="A186" s="42" t="inlineStr">
        <is>
          <t>NATI</t>
        </is>
      </c>
      <c r="B186" s="42" t="inlineStr">
        <is>
          <t>TOTAL DE DESCONTOS</t>
        </is>
      </c>
      <c r="C186" s="42" t="inlineStr">
        <is>
          <t>Subtotal</t>
        </is>
      </c>
      <c r="D186" s="43">
        <f>'HOLERITE AGO.26'!I31</f>
        <v/>
      </c>
      <c r="E186" s="18" t="n"/>
    </row>
    <row r="187">
      <c r="A187" s="44" t="inlineStr">
        <is>
          <t>NATI</t>
        </is>
      </c>
      <c r="B187" s="45" t="inlineStr">
        <is>
          <t>LÍQUIDO A RECEBER</t>
        </is>
      </c>
      <c r="C187" s="45" t="inlineStr">
        <is>
          <t>Líquido</t>
        </is>
      </c>
      <c r="D187" s="46">
        <f>'HOLERITE AGO.26'!I33</f>
        <v/>
      </c>
      <c r="E187" s="47" t="n"/>
    </row>
  </sheetData>
  <autoFilter ref="A4:E187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Competência AGOSTO/2026 · Pagamento em 05/09/2026 · Farmácia Tropical Multi Econômica</t>
        </is>
      </c>
    </row>
    <row r="4">
      <c r="B4" s="48" t="inlineStr">
        <is>
          <t>Escolha o colaborador:</t>
        </is>
      </c>
      <c r="C4" s="49" t="inlineStr">
        <is>
          <t>DEAN</t>
        </is>
      </c>
      <c r="D4" s="7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9" t="n"/>
      <c r="D6" s="29" t="n"/>
    </row>
    <row r="7">
      <c r="B7" s="30" t="inlineStr">
        <is>
          <t>Salário base</t>
        </is>
      </c>
      <c r="C7" s="34">
        <f>IFERROR(INDEX('HOLERITE AGO.26'!$B$6:$I$6,1,MATCH($C$4,'HOLERITE AGO.26'!$B$4:$I$4,0)),0)</f>
        <v/>
      </c>
    </row>
    <row r="8">
      <c r="B8" s="30" t="inlineStr">
        <is>
          <t>Adicional noturno</t>
        </is>
      </c>
      <c r="C8" s="34">
        <f>IFERROR(INDEX('HOLERITE AGO.26'!$B$7:$I$7,1,MATCH($C$4,'HOLERITE AGO.26'!$B$4:$I$4,0)),0)</f>
        <v/>
      </c>
    </row>
    <row r="9">
      <c r="B9" s="30" t="inlineStr">
        <is>
          <t>Horas extras</t>
        </is>
      </c>
      <c r="C9" s="34">
        <f>IFERROR(INDEX('HOLERITE AGO.26'!$B$8:$I$8,1,MATCH($C$4,'HOLERITE AGO.26'!$B$4:$I$4,0)),0)</f>
        <v/>
      </c>
    </row>
    <row r="10">
      <c r="B10" s="30" t="inlineStr">
        <is>
          <t>Comissão sobre vendas</t>
        </is>
      </c>
      <c r="C10" s="34">
        <f>IFERROR(INDEX('HOLERITE AGO.26'!$B$11:$I$11,1,MATCH($C$4,'HOLERITE AGO.26'!$B$4:$I$4,0)),0)</f>
        <v/>
      </c>
    </row>
    <row r="11">
      <c r="B11" s="30" t="inlineStr">
        <is>
          <t>Repouso remunerado / DSR</t>
        </is>
      </c>
      <c r="C11" s="34">
        <f>IFERROR(INDEX('HOLERITE AGO.26'!$B$12:$I$12,1,MATCH($C$4,'HOLERITE AGO.26'!$B$4:$I$4,0)),0)</f>
        <v/>
      </c>
    </row>
    <row r="12">
      <c r="B12" s="30" t="inlineStr">
        <is>
          <t>Auxílio gerência</t>
        </is>
      </c>
      <c r="C12" s="34">
        <f>IFERROR(INDEX('HOLERITE AGO.26'!$B$13:$I$13,1,MATCH($C$4,'HOLERITE AGO.26'!$B$4:$I$4,0)),0)</f>
        <v/>
      </c>
    </row>
    <row r="13">
      <c r="B13" s="30" t="inlineStr">
        <is>
          <t>Adicional prêmio meta caixa</t>
        </is>
      </c>
      <c r="C13" s="34">
        <f>IFERROR(INDEX('HOLERITE AGO.26'!$B$14:$I$14,1,MATCH($C$4,'HOLERITE AGO.26'!$B$4:$I$4,0)),0)</f>
        <v/>
      </c>
    </row>
    <row r="14">
      <c r="B14" s="30" t="inlineStr">
        <is>
          <t>Prêmio cota geral</t>
        </is>
      </c>
      <c r="C14" s="34">
        <f>IFERROR(INDEX('HOLERITE AGO.26'!$B$15:$I$15,1,MATCH($C$4,'HOLERITE AGO.26'!$B$4:$I$4,0)),0)</f>
        <v/>
      </c>
    </row>
    <row r="15">
      <c r="B15" s="30" t="inlineStr">
        <is>
          <t>Prêmio pré-vencidos</t>
        </is>
      </c>
      <c r="C15" s="34">
        <f>IFERROR(INDEX('HOLERITE AGO.26'!$B$16:$I$16,1,MATCH($C$4,'HOLERITE AGO.26'!$B$4:$I$4,0)),0)</f>
        <v/>
      </c>
    </row>
    <row r="16">
      <c r="B16" s="30" t="inlineStr">
        <is>
          <t>Férias</t>
        </is>
      </c>
      <c r="C16" s="34">
        <f>IFERROR(INDEX('HOLERITE AGO.26'!$B$17:$I$17,1,MATCH($C$4,'HOLERITE AGO.26'!$B$4:$I$4,0)),0)</f>
        <v/>
      </c>
    </row>
    <row r="17">
      <c r="B17" s="30" t="inlineStr">
        <is>
          <t>1/3 constitucional de férias</t>
        </is>
      </c>
      <c r="C17" s="34">
        <f>IFERROR(INDEX('HOLERITE AGO.26'!$B$18:$I$18,1,MATCH($C$4,'HOLERITE AGO.26'!$B$4:$I$4,0)),0)</f>
        <v/>
      </c>
    </row>
    <row r="18">
      <c r="B18" s="30" t="inlineStr">
        <is>
          <t>Incentivo aplicações</t>
        </is>
      </c>
      <c r="C18" s="34">
        <f>IFERROR(INDEX('HOLERITE AGO.26'!$B$19:$I$19,1,MATCH($C$4,'HOLERITE AGO.26'!$B$4:$I$4,0)),0)</f>
        <v/>
      </c>
    </row>
    <row r="19">
      <c r="B19" s="30" t="inlineStr">
        <is>
          <t>Incentivo vitaminas</t>
        </is>
      </c>
      <c r="C19" s="34">
        <f>IFERROR(INDEX('HOLERITE AGO.26'!$B$20:$I$20,1,MATCH($C$4,'HOLERITE AGO.26'!$B$4:$I$4,0)),0)</f>
        <v/>
      </c>
    </row>
    <row r="20">
      <c r="B20" s="30" t="inlineStr">
        <is>
          <t>Outros incentivos</t>
        </is>
      </c>
      <c r="C20" s="34">
        <f>IFERROR(INDEX('HOLERITE AGO.26'!$B$21:$I$21,1,MATCH($C$4,'HOLERITE AGO.26'!$B$4:$I$4,0)),0)</f>
        <v/>
      </c>
    </row>
    <row r="21">
      <c r="B21" s="19" t="inlineStr">
        <is>
          <t>TOTAL DE PROVENTOS</t>
        </is>
      </c>
      <c r="C21" s="43">
        <f>IFERROR(INDEX('HOLERITE AGO.26'!$B$22:$I$22,1,MATCH($C$4,'HOLERITE AGO.26'!$B$4:$I$4,0)),0)</f>
        <v/>
      </c>
    </row>
    <row r="22" ht="19" customHeight="1">
      <c r="B22" s="3" t="inlineStr">
        <is>
          <t>DESCONTOS</t>
        </is>
      </c>
      <c r="C22" s="29" t="n"/>
      <c r="D22" s="29" t="n"/>
    </row>
    <row r="23">
      <c r="B23" s="30" t="inlineStr">
        <is>
          <t>Adiantamento / vales</t>
        </is>
      </c>
      <c r="C23" s="34">
        <f>IFERROR(INDEX('HOLERITE AGO.26'!$B$24:$I$24,1,MATCH($C$4,'HOLERITE AGO.26'!$B$4:$I$4,0)),0)</f>
        <v/>
      </c>
    </row>
    <row r="24">
      <c r="B24" s="30" t="inlineStr">
        <is>
          <t>Adiantamento de incentivos e aplicações</t>
        </is>
      </c>
      <c r="C24" s="34">
        <f>IFERROR(INDEX('HOLERITE AGO.26'!$B$25:$I$25,1,MATCH($C$4,'HOLERITE AGO.26'!$B$4:$I$4,0)),0)</f>
        <v/>
      </c>
    </row>
    <row r="25">
      <c r="B25" s="30" t="inlineStr">
        <is>
          <t>Convênio</t>
        </is>
      </c>
      <c r="C25" s="34">
        <f>IFERROR(INDEX('HOLERITE AGO.26'!$B$26:$I$26,1,MATCH($C$4,'HOLERITE AGO.26'!$B$4:$I$4,0)),0)</f>
        <v/>
      </c>
    </row>
    <row r="26">
      <c r="B26" s="30" t="inlineStr">
        <is>
          <t>Faltas / atrasos</t>
        </is>
      </c>
      <c r="C26" s="34">
        <f>IFERROR(INDEX('HOLERITE AGO.26'!$B$27:$I$27,1,MATCH($C$4,'HOLERITE AGO.26'!$B$4:$I$4,0)),0)</f>
        <v/>
      </c>
    </row>
    <row r="27">
      <c r="B27" s="30" t="inlineStr">
        <is>
          <t>Vale transporte 6%</t>
        </is>
      </c>
      <c r="C27" s="34">
        <f>IFERROR(INDEX('HOLERITE AGO.26'!$B$28:$I$28,1,MATCH($C$4,'HOLERITE AGO.26'!$B$4:$I$4,0)),0)</f>
        <v/>
      </c>
    </row>
    <row r="28">
      <c r="B28" s="30" t="inlineStr">
        <is>
          <t>INSS</t>
        </is>
      </c>
      <c r="C28" s="34">
        <f>IFERROR(INDEX('HOLERITE AGO.26'!$B$29:$I$29,1,MATCH($C$4,'HOLERITE AGO.26'!$B$4:$I$4,0)),0)</f>
        <v/>
      </c>
    </row>
    <row r="29">
      <c r="B29" s="30" t="inlineStr">
        <is>
          <t>IRRF</t>
        </is>
      </c>
      <c r="C29" s="34">
        <f>IFERROR(INDEX('HOLERITE AGO.26'!$B$30:$I$30,1,MATCH($C$4,'HOLERITE AGO.26'!$B$4:$I$4,0)),0)</f>
        <v/>
      </c>
    </row>
    <row r="30">
      <c r="B30" s="19" t="inlineStr">
        <is>
          <t>TOTAL DE DESCONTOS</t>
        </is>
      </c>
      <c r="C30" s="43">
        <f>IFERROR(INDEX('HOLERITE AGO.26'!$B$31:$I$31,1,MATCH($C$4,'HOLERITE AGO.26'!$B$4:$I$4,0)),0)</f>
        <v/>
      </c>
    </row>
    <row r="31" ht="19" customHeight="1">
      <c r="B31" s="3" t="inlineStr">
        <is>
          <t>LÍQUIDO</t>
        </is>
      </c>
      <c r="C31" s="29" t="n"/>
      <c r="D31" s="29" t="n"/>
    </row>
    <row r="32" ht="22" customHeight="1">
      <c r="B32" s="50" t="inlineStr">
        <is>
          <t>LÍQUIDO A RECEBER EM 05/09/2026</t>
        </is>
      </c>
      <c r="C32" s="51">
        <f>IFERROR(INDEX('HOLERITE AGO.26'!$B$33:$I$33,1,MATCH($C$4,'HOLERITE AGO.26'!$B$4:$I$4,0)),0)</f>
        <v/>
      </c>
    </row>
    <row r="34">
      <c r="B34" s="52" t="inlineStr">
        <is>
          <t>Vendas do colaborador no mês (InovaFarma):</t>
        </is>
      </c>
    </row>
    <row r="35">
      <c r="B35" s="30" t="inlineStr">
        <is>
          <t>Venda bruta</t>
        </is>
      </c>
      <c r="C35" s="34">
        <f>IFERROR(INDEX('BASE INOVAFARMA AGO.26'!$C$5:$C$12,MATCH($C$4,'BASE INOVAFARMA AGO.26'!$B$5:$B$12,0)),0)</f>
        <v/>
      </c>
    </row>
    <row r="36">
      <c r="B36" s="30" t="inlineStr">
        <is>
          <t>Descontos concedidos</t>
        </is>
      </c>
      <c r="C36" s="34">
        <f>IFERROR(INDEX('BASE INOVAFARMA AGO.26'!$D$5:$D$12,MATCH($C$4,'BASE INOVAFARMA AGO.26'!$B$5:$B$12,0)),0)</f>
        <v/>
      </c>
    </row>
    <row r="37">
      <c r="B37" s="30" t="inlineStr">
        <is>
          <t>Venda líquida</t>
        </is>
      </c>
      <c r="C37" s="34">
        <f>IFERROR(INDEX('BASE INOVAFARMA AGO.26'!$E$5:$E$12,MATCH($C$4,'BASE INOVAFARMA AGO.26'!$B$5:$B$12,0)),0)</f>
        <v/>
      </c>
    </row>
    <row r="38">
      <c r="B38" s="30" t="inlineStr">
        <is>
          <t>Comissão apurada</t>
        </is>
      </c>
      <c r="C38" s="34">
        <f>IFERROR(INDEX('BASE INOVAFARMA AGO.26'!$F$5:$F$12,MATCH($C$4,'BASE INOVAFARMA AGO.26'!$B$5:$B$12,0)),0)</f>
        <v/>
      </c>
    </row>
    <row r="39">
      <c r="B39" s="30" t="inlineStr">
        <is>
          <t>Total de incentivos</t>
        </is>
      </c>
      <c r="C39" s="34">
        <f>IFERROR(INDEX('BASE INOVAFARMA AGO.26'!$J$5:$J$12,MATCH($C$4,'BASE INOVAFARMA AGO.26'!$B$5:$B$12,0)),0)</f>
        <v/>
      </c>
    </row>
    <row r="41">
      <c r="B41" s="7" t="inlineStr">
        <is>
          <t>A comissão apurada acima é a apuração do sistema. O que entra na folha é a linha "Comissão sobre vendas" — pode ser diferente (valor fixo acordado, PDV antigos ou quem não recebe comissão).</t>
        </is>
      </c>
    </row>
    <row r="42">
      <c r="B42" s="7" t="inlineStr">
        <is>
          <t>Os valores de INSS e IRRF são calculados pela contabilidade e só aparecem aqui depois de preenchidos na aba HOLERITE AGO.26.</t>
        </is>
      </c>
    </row>
    <row r="43">
      <c r="B43" s="7" t="inlineStr">
        <is>
          <t>Para mandar para o colaborador: selecione o nome acima e imprima esta aba em PDF (ou tire um print).</t>
        </is>
      </c>
    </row>
    <row r="44">
      <c r="B44" s="7" t="inlineStr">
        <is>
          <t>Na aba LISTA CONTABILIDADE também dá para filtrar por FUNCIONÁRIO e ver só os lançamentos de uma pessoa.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"DEAN,AGNOR,EDEY,JOEL,VALÉRIA,SARA,CAMILA,NATI"</formula1>
    </dataValidation>
  </dataValidations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AGOSTO/2026</t>
        </is>
      </c>
    </row>
    <row r="2" ht="18" customHeight="1">
      <c r="A2" s="2" t="inlineStr">
        <is>
          <t>Horas extras, adicional noturno e feriado trabalhado · alimenta as rubricas da aba HOLERITE AGO.26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15" t="inlineStr">
        <is>
          <t>EDEY</t>
        </is>
      </c>
      <c r="B5" s="30" t="inlineStr">
        <is>
          <t>Horas extras 50%</t>
        </is>
      </c>
      <c r="C5" s="9" t="n">
        <v>24</v>
      </c>
      <c r="D5" s="14" t="inlineStr">
        <is>
          <t>horas</t>
        </is>
      </c>
      <c r="E5" s="34">
        <f>IFERROR(INDEX('HOLERITE AGO.26'!$B$6:$I$6,1,MATCH(A5,'HOLERITE AGO.26'!$B$4:$I$4,0)),0)</f>
        <v/>
      </c>
      <c r="F5" s="35">
        <f>ROUND(E5/PARÂMETROS!$B$20*(1+PARÂMETROS!$B$21),4)</f>
        <v/>
      </c>
      <c r="G5" s="20">
        <f>ROUND(C5*F5,2)</f>
        <v/>
      </c>
      <c r="H5" s="53" t="inlineStr">
        <is>
          <t>HORAS EXTRAS</t>
        </is>
      </c>
      <c r="I5" s="33" t="inlineStr">
        <is>
          <t>24 horas extras normais em agosto/2026.</t>
        </is>
      </c>
    </row>
    <row r="6">
      <c r="A6" s="15" t="inlineStr">
        <is>
          <t>EDEY</t>
        </is>
      </c>
      <c r="B6" s="30" t="inlineStr">
        <is>
          <t>Adicional noturno (valor fixo)</t>
        </is>
      </c>
      <c r="C6" s="9" t="n">
        <v>1</v>
      </c>
      <c r="D6" s="14" t="inlineStr">
        <is>
          <t>valor</t>
        </is>
      </c>
      <c r="E6" s="34">
        <f>IFERROR(INDEX('HOLERITE AGO.26'!$B$6:$I$6,1,MATCH(A6,'HOLERITE AGO.26'!$B$4:$I$4,0)),0)</f>
        <v/>
      </c>
      <c r="F6" s="31" t="n">
        <v>350</v>
      </c>
      <c r="G6" s="20">
        <f>ROUND(C6*F6,2)</f>
        <v/>
      </c>
      <c r="H6" s="53" t="inlineStr">
        <is>
          <t>ADICIONAL NOTURNO</t>
        </is>
      </c>
      <c r="I6" s="33" t="inlineStr">
        <is>
          <t>Adicional noturno lançado como valor fixo desde jul/26 — CONFERIR com o apontamento do ponto.</t>
        </is>
      </c>
    </row>
    <row r="7">
      <c r="A7" s="15" t="inlineStr">
        <is>
          <t>NATI</t>
        </is>
      </c>
      <c r="B7" s="30" t="inlineStr">
        <is>
          <t>Adicional noturno</t>
        </is>
      </c>
      <c r="C7" s="9" t="n">
        <v>17</v>
      </c>
      <c r="D7" s="14" t="inlineStr">
        <is>
          <t>horas</t>
        </is>
      </c>
      <c r="E7" s="34">
        <f>IFERROR(INDEX('HOLERITE AGO.26'!$B$6:$I$6,1,MATCH(A7,'HOLERITE AGO.26'!$B$4:$I$4,0)),0)</f>
        <v/>
      </c>
      <c r="F7" s="35">
        <f>ROUND(E7/PARÂMETROS!$B$20*PARÂMETROS!$B$22,4)</f>
        <v/>
      </c>
      <c r="G7" s="20">
        <f>ROUND(C7*F7,2)</f>
        <v/>
      </c>
      <c r="H7" s="53" t="inlineStr">
        <is>
          <t>ADICIONAL NOTURNO</t>
        </is>
      </c>
      <c r="I7" s="33" t="inlineStr">
        <is>
          <t>17 horas noturnas.</t>
        </is>
      </c>
    </row>
    <row r="8">
      <c r="A8" s="15" t="inlineStr">
        <is>
          <t>NATI</t>
        </is>
      </c>
      <c r="B8" s="30" t="inlineStr">
        <is>
          <t>Feriado trabalhado (dobra)</t>
        </is>
      </c>
      <c r="C8" s="9" t="n">
        <v>1</v>
      </c>
      <c r="D8" s="14" t="inlineStr">
        <is>
          <t>dias</t>
        </is>
      </c>
      <c r="E8" s="34">
        <f>IFERROR(INDEX('HOLERITE AGO.26'!$B$6:$I$6,1,MATCH(A8,'HOLERITE AGO.26'!$B$4:$I$4,0)),0)</f>
        <v/>
      </c>
      <c r="F8" s="35">
        <f>ROUND(E8/PARÂMETROS!$B$23,2)</f>
        <v/>
      </c>
      <c r="G8" s="20">
        <f>ROUND(C8*F8,2)</f>
        <v/>
      </c>
      <c r="H8" s="53" t="inlineStr">
        <is>
          <t>HORAS EXTRAS</t>
        </is>
      </c>
      <c r="I8" s="33" t="inlineStr">
        <is>
          <t>Feriado de 15/08/2026 trabalhado, sem folga compensatória — pago em dobro (1 dia a mais).</t>
        </is>
      </c>
    </row>
    <row r="9">
      <c r="A9" s="15" t="inlineStr">
        <is>
          <t>CAMILA</t>
        </is>
      </c>
      <c r="B9" s="30" t="inlineStr">
        <is>
          <t>Feriado trabalhado (dobra)</t>
        </is>
      </c>
      <c r="C9" s="9" t="n">
        <v>1</v>
      </c>
      <c r="D9" s="14" t="inlineStr">
        <is>
          <t>dias</t>
        </is>
      </c>
      <c r="E9" s="34">
        <f>IFERROR(INDEX('HOLERITE AGO.26'!$B$6:$I$6,1,MATCH(A9,'HOLERITE AGO.26'!$B$4:$I$4,0)),0)</f>
        <v/>
      </c>
      <c r="F9" s="35">
        <f>ROUND(E9/PARÂMETROS!$B$23,2)</f>
        <v/>
      </c>
      <c r="G9" s="20">
        <f>ROUND(C9*F9,2)</f>
        <v/>
      </c>
      <c r="H9" s="53" t="inlineStr">
        <is>
          <t>HORAS EXTRAS</t>
        </is>
      </c>
      <c r="I9" s="33" t="inlineStr">
        <is>
          <t>Dia 15/08/2026 (feriado) trabalhado.</t>
        </is>
      </c>
    </row>
    <row r="10">
      <c r="A10" s="15" t="inlineStr">
        <is>
          <t>SARA</t>
        </is>
      </c>
      <c r="B10" s="30" t="inlineStr">
        <is>
          <t>Feriado trabalhado (dobra)</t>
        </is>
      </c>
      <c r="C10" s="9" t="n">
        <v>1</v>
      </c>
      <c r="D10" s="14" t="inlineStr">
        <is>
          <t>dias</t>
        </is>
      </c>
      <c r="E10" s="34">
        <f>IFERROR(INDEX('HOLERITE AGO.26'!$B$6:$I$6,1,MATCH(A10,'HOLERITE AGO.26'!$B$4:$I$4,0)),0)</f>
        <v/>
      </c>
      <c r="F10" s="35">
        <f>ROUND(E10/PARÂMETROS!$B$23,2)</f>
        <v/>
      </c>
      <c r="G10" s="20">
        <f>ROUND(C10*F10,2)</f>
        <v/>
      </c>
      <c r="H10" s="53" t="inlineStr">
        <is>
          <t>HORAS EXTRAS</t>
        </is>
      </c>
      <c r="I10" s="33" t="inlineStr">
        <is>
          <t>Dia 15/08/2026 (feriado) trabalhado.</t>
        </is>
      </c>
    </row>
    <row r="11">
      <c r="A11" s="15" t="inlineStr">
        <is>
          <t>VALÉRIA</t>
        </is>
      </c>
      <c r="B11" s="30" t="inlineStr">
        <is>
          <t>Feriado trabalhado (dobra)</t>
        </is>
      </c>
      <c r="C11" s="9" t="n">
        <v>1</v>
      </c>
      <c r="D11" s="14" t="inlineStr">
        <is>
          <t>dias</t>
        </is>
      </c>
      <c r="E11" s="34">
        <f>IFERROR(INDEX('HOLERITE AGO.26'!$B$6:$I$6,1,MATCH(A11,'HOLERITE AGO.26'!$B$4:$I$4,0)),0)</f>
        <v/>
      </c>
      <c r="F11" s="35">
        <f>ROUND(E11/PARÂMETROS!$B$23,2)</f>
        <v/>
      </c>
      <c r="G11" s="20">
        <f>ROUND(C11*F11,2)</f>
        <v/>
      </c>
      <c r="H11" s="53" t="inlineStr">
        <is>
          <t>HORAS EXTRAS</t>
        </is>
      </c>
      <c r="I11" s="33" t="inlineStr">
        <is>
          <t>Dia 15/08/2026 (feriado) trabalhado.</t>
        </is>
      </c>
    </row>
    <row r="12">
      <c r="A12" s="15" t="inlineStr">
        <is>
          <t>VALÉRIA</t>
        </is>
      </c>
      <c r="B12" s="30" t="inlineStr">
        <is>
          <t>Adicional noturno</t>
        </is>
      </c>
      <c r="C12" s="9" t="n"/>
      <c r="D12" s="14" t="inlineStr">
        <is>
          <t>horas</t>
        </is>
      </c>
      <c r="E12" s="34">
        <f>IFERROR(INDEX('HOLERITE AGO.26'!$B$6:$I$6,1,MATCH(A12,'HOLERITE AGO.26'!$B$4:$I$4,0)),0)</f>
        <v/>
      </c>
      <c r="F12" s="35">
        <f>ROUND(E12/PARÂMETROS!$B$20*PARÂMETROS!$B$22,4)</f>
        <v/>
      </c>
      <c r="G12" s="20">
        <f>ROUND(C12*F12,2)</f>
        <v/>
      </c>
      <c r="H12" s="53" t="inlineStr">
        <is>
          <t>ADICIONAL NOTURNO</t>
        </is>
      </c>
      <c r="I12" s="33" t="inlineStr">
        <is>
          <t>2 madrugadas trabalhadas, com folga normal no dia seguinte — cabe só o adicional noturno. INFORMAR o total de horas noturnas das 2 madrugadas.</t>
        </is>
      </c>
    </row>
    <row r="13">
      <c r="A13" s="15" t="inlineStr">
        <is>
          <t>AGNOR</t>
        </is>
      </c>
      <c r="B13" s="30" t="inlineStr">
        <is>
          <t>Adicional noturno</t>
        </is>
      </c>
      <c r="C13" s="9" t="n"/>
      <c r="D13" s="14" t="inlineStr">
        <is>
          <t>horas</t>
        </is>
      </c>
      <c r="E13" s="34">
        <f>IFERROR(INDEX('HOLERITE AGO.26'!$B$6:$I$6,1,MATCH(A13,'HOLERITE AGO.26'!$B$4:$I$4,0)),0)</f>
        <v/>
      </c>
      <c r="F13" s="35">
        <f>ROUND(E13/PARÂMETROS!$B$20*PARÂMETROS!$B$22,4)</f>
        <v/>
      </c>
      <c r="G13" s="20">
        <f>ROUND(C13*F13,2)</f>
        <v/>
      </c>
      <c r="H13" s="53" t="inlineStr">
        <is>
          <t>ADICIONAL NOTURNO</t>
        </is>
      </c>
      <c r="I13" s="33" t="inlineStr">
        <is>
          <t>3 madrugadas trabalhadas, com folga normal — cabe só o adicional noturno. INFORMAR o total de horas noturnas das 3 madrugadas.</t>
        </is>
      </c>
    </row>
    <row r="14">
      <c r="A14" s="15" t="inlineStr">
        <is>
          <t>DEAN</t>
        </is>
      </c>
      <c r="B14" s="30" t="inlineStr">
        <is>
          <t>Feriado com folga compensatória</t>
        </is>
      </c>
      <c r="C14" s="9" t="n">
        <v>1</v>
      </c>
      <c r="D14" s="14" t="inlineStr">
        <is>
          <t>dias</t>
        </is>
      </c>
      <c r="E14" s="34">
        <f>IFERROR(INDEX('HOLERITE AGO.26'!$B$6:$I$6,1,MATCH(A14,'HOLERITE AGO.26'!$B$4:$I$4,0)),0)</f>
        <v/>
      </c>
      <c r="F14" s="35" t="n">
        <v>0</v>
      </c>
      <c r="G14" s="20">
        <f>ROUND(C14*F14,2)</f>
        <v/>
      </c>
      <c r="H14" s="53" t="inlineStr">
        <is>
          <t>—</t>
        </is>
      </c>
      <c r="I14" s="33" t="inlineStr">
        <is>
          <t>Dia 15/08/2026 trabalhado, com folga compensatória — nada a pagar, registro apenas.</t>
        </is>
      </c>
    </row>
    <row r="15">
      <c r="A15" s="54" t="n"/>
      <c r="B15" s="54" t="n"/>
      <c r="C15" s="54" t="n"/>
      <c r="D15" s="54" t="n"/>
      <c r="E15" s="34">
        <f>IFERROR(INDEX('HOLERITE AGO.26'!$B$6:$I$6,1,MATCH(A15,'HOLERITE AGO.26'!$B$4:$I$4,0)),0)</f>
        <v/>
      </c>
      <c r="F15" s="36" t="n"/>
      <c r="G15" s="20">
        <f>ROUND(C15*F15,2)</f>
        <v/>
      </c>
      <c r="H15" s="54" t="n"/>
      <c r="I15" s="54" t="n"/>
    </row>
    <row r="16">
      <c r="A16" s="54" t="n"/>
      <c r="B16" s="54" t="n"/>
      <c r="C16" s="54" t="n"/>
      <c r="D16" s="54" t="n"/>
      <c r="E16" s="34">
        <f>IFERROR(INDEX('HOLERITE AGO.26'!$B$6:$I$6,1,MATCH(A16,'HOLERITE AGO.26'!$B$4:$I$4,0)),0)</f>
        <v/>
      </c>
      <c r="F16" s="36" t="n"/>
      <c r="G16" s="20">
        <f>ROUND(C16*F16,2)</f>
        <v/>
      </c>
      <c r="H16" s="54" t="n"/>
      <c r="I16" s="54" t="n"/>
    </row>
    <row r="17">
      <c r="A17" s="54" t="n"/>
      <c r="B17" s="54" t="n"/>
      <c r="C17" s="54" t="n"/>
      <c r="D17" s="54" t="n"/>
      <c r="E17" s="34">
        <f>IFERROR(INDEX('HOLERITE AGO.26'!$B$6:$I$6,1,MATCH(A17,'HOLERITE AGO.26'!$B$4:$I$4,0)),0)</f>
        <v/>
      </c>
      <c r="F17" s="36" t="n"/>
      <c r="G17" s="20">
        <f>ROUND(C17*F17,2)</f>
        <v/>
      </c>
      <c r="H17" s="54" t="n"/>
      <c r="I17" s="54" t="n"/>
    </row>
    <row r="18">
      <c r="A18" s="54" t="n"/>
      <c r="B18" s="54" t="n"/>
      <c r="C18" s="54" t="n"/>
      <c r="D18" s="54" t="n"/>
      <c r="E18" s="34">
        <f>IFERROR(INDEX('HOLERITE AGO.26'!$B$6:$I$6,1,MATCH(A18,'HOLERITE AGO.26'!$B$4:$I$4,0)),0)</f>
        <v/>
      </c>
      <c r="F18" s="36" t="n"/>
      <c r="G18" s="20">
        <f>ROUND(C18*F18,2)</f>
        <v/>
      </c>
      <c r="H18" s="54" t="n"/>
      <c r="I18" s="54" t="n"/>
    </row>
    <row r="19">
      <c r="A19" s="54" t="n"/>
      <c r="B19" s="54" t="n"/>
      <c r="C19" s="54" t="n"/>
      <c r="D19" s="54" t="n"/>
      <c r="E19" s="34">
        <f>IFERROR(INDEX('HOLERITE AGO.26'!$B$6:$I$6,1,MATCH(A19,'HOLERITE AGO.26'!$B$4:$I$4,0)),0)</f>
        <v/>
      </c>
      <c r="F19" s="36" t="n"/>
      <c r="G19" s="20">
        <f>ROUND(C19*F19,2)</f>
        <v/>
      </c>
      <c r="H19" s="54" t="n"/>
      <c r="I19" s="54" t="n"/>
    </row>
    <row r="20">
      <c r="A20" s="54" t="n"/>
      <c r="B20" s="54" t="n"/>
      <c r="C20" s="54" t="n"/>
      <c r="D20" s="54" t="n"/>
      <c r="E20" s="34">
        <f>IFERROR(INDEX('HOLERITE AGO.26'!$B$6:$I$6,1,MATCH(A20,'HOLERITE AGO.26'!$B$4:$I$4,0)),0)</f>
        <v/>
      </c>
      <c r="F20" s="36" t="n"/>
      <c r="G20" s="20">
        <f>ROUND(C20*F20,2)</f>
        <v/>
      </c>
      <c r="H20" s="54" t="n"/>
      <c r="I20" s="54" t="n"/>
    </row>
    <row r="21">
      <c r="A21" s="18" t="n"/>
      <c r="B21" s="19" t="inlineStr">
        <is>
          <t>TOTAL</t>
        </is>
      </c>
      <c r="C21" s="18" t="n"/>
      <c r="D21" s="18" t="n"/>
      <c r="E21" s="18" t="n"/>
      <c r="F21" s="18" t="n"/>
      <c r="G21" s="20">
        <f>SUM(G5:G20)</f>
        <v/>
      </c>
      <c r="H21" s="18" t="n"/>
      <c r="I21" s="18" t="n"/>
    </row>
    <row r="23" ht="24" customHeight="1">
      <c r="A23" s="10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24" ht="24" customHeight="1">
      <c r="A24" s="10" t="inlineStr">
        <is>
          <t>Confira: 40 horas extras dão R$ 442,09 e 24 horas dão R$ 265,25 no salário de R$ 1.621,00 — é a mesma conta usada na planilha de julho.</t>
        </is>
      </c>
    </row>
    <row r="25" ht="24" customHeight="1">
      <c r="A25" s="10" t="inlineStr">
        <is>
          <t>As linhas em branco no fim da tabela são para acrescentar outras ocorrências: preencha funcionário, ocorrência, quantidade, valor unitário e a rubrica de destino (HORAS EXTRAS ou ADICIONAL NOTURNO).</t>
        </is>
      </c>
    </row>
    <row r="26" ht="24" customHeight="1">
      <c r="A26" s="10" t="inlineStr">
        <is>
          <t>Os totais desta aba entram sozinhos nas linhas HORAS EXTRAS e ADICIONAL NOTURNO da aba HOLERITE AGO.26 — não digite nada por cima lá.</t>
        </is>
      </c>
    </row>
  </sheetData>
  <autoFilter ref="A4:I20"/>
  <mergeCells count="6">
    <mergeCell ref="A25:I25"/>
    <mergeCell ref="A2:I2"/>
    <mergeCell ref="A1:I1"/>
    <mergeCell ref="A23:I23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2026-09-03T15:33:23Z</dcterms:created>
  <dcterms:modified xsi:type="dcterms:W3CDTF">2026-09-03T15:33:23Z</dcterms:modified>
</cp:coreProperties>
</file>