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AGO.26'!$A$4:$J$12</definedName>
    <definedName name="_xlnm._FilterDatabase" localSheetId="3" hidden="1">'HOLERITE AGO.26'!$A$4:$K$36</definedName>
    <definedName name="_xlnm._FilterDatabase" localSheetId="4" hidden="1">'JULHO.26 REVISADO'!$A$4:$K$30</definedName>
    <definedName name="_xlnm._FilterDatabase" localSheetId="5" hidden="1">'LISTA CONTABILIDADE'!$A$4:$E$187</definedName>
    <definedName name="_xlnm.Print_Area" localSheetId="6">'GANHOS DO COLABORADOR'!$A$1:$D$45</definedName>
    <definedName name="_xlnm._FilterDatabase" localSheetId="7" hidden="1">'PONTO AGO.26'!$A$4:$I$21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11" fillId="0" borderId="1" pivotButton="0" quotePrefix="0" xfId="0"/>
    <xf numFmtId="164" fontId="5" fillId="4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APONTAMENTO DE AGOSTO/2026 (aba PONTO AGO.26)</t>
        </is>
      </c>
    </row>
    <row r="22" ht="17" customHeight="1">
      <c r="A22" s="4" t="inlineStr"/>
      <c r="B22" s="5" t="inlineStr">
        <is>
          <t>EDEY: 24 horas extras normais → R$ 265,25.</t>
        </is>
      </c>
    </row>
    <row r="23" ht="17" customHeight="1">
      <c r="A23" s="4" t="inlineStr"/>
      <c r="B23" s="5" t="inlineStr">
        <is>
          <t>NATI: 17 horas extras noturnas → R$ 187,89 de hora extra mais R$ 25,05 de adicional noturno; e o feriado de 15/08 trabalhado sem folga → R$ 54,03.</t>
        </is>
      </c>
    </row>
    <row r="24" ht="17" customHeight="1">
      <c r="A24" s="4" t="inlineStr"/>
      <c r="B24" s="5" t="inlineStr">
        <is>
          <t>CAMILA, SARA e VALÉRIA: dia 15/08 (feriado) trabalhado → R$ 54,03 cada.</t>
        </is>
      </c>
    </row>
    <row r="25" ht="17" customHeight="1">
      <c r="A25" s="4" t="inlineStr"/>
      <c r="B25" s="5" t="inlineStr">
        <is>
          <t>VALÉRIA: 2 madrugadas de 8 horas (16 h) com folga no dia seguinte → R$ 23,58 de adicional noturno.</t>
        </is>
      </c>
    </row>
    <row r="26" ht="17" customHeight="1">
      <c r="A26" s="4" t="inlineStr"/>
      <c r="B26" s="5" t="inlineStr">
        <is>
          <t>AGNOR: 3 madrugadas de 8 horas (24 h) com folga → R$ 35,37 de adicional noturno.</t>
        </is>
      </c>
    </row>
    <row r="27" ht="17" customHeight="1">
      <c r="A27" s="4" t="inlineStr"/>
      <c r="B27" s="5" t="inlineStr">
        <is>
          <t>DEAN: dia 15/08 trabalhado com folga compensatória — nada a pagar.</t>
        </is>
      </c>
    </row>
    <row r="28" ht="20" customHeight="1">
      <c r="A28" s="3" t="inlineStr">
        <is>
          <t>JÁ DEFINIDO PELA EMPRESA</t>
        </is>
      </c>
    </row>
    <row r="29" ht="17" customHeight="1">
      <c r="A29" s="4" t="inlineStr"/>
      <c r="B29" s="5" t="inlineStr">
        <is>
          <t>AGNOR: mantida a comissão fixa de R$ 2.000,00 — a linha COMPLEMENTO / COMISSÃO PDV calcula sozinha a diferença (R$ 1.090,49) sobre o apurado de R$ 909,51.</t>
        </is>
      </c>
    </row>
    <row r="30" ht="17" customHeight="1">
      <c r="A30" s="4" t="inlineStr"/>
      <c r="B30" s="5" t="inlineStr">
        <is>
          <t>JOEL: por acordo interno saiu em 04/08 e volta em 04/09, mas o recibo de férias saiu como 01 a 31/08 e já foi pago no início de agosto. Por isso ele tem comissão dos dias 01 e 02/08 (R$ 103,31) e fica sem salário e sem desconto de vale-transporte neste holerite; férias e 1/3 NÃO se repetem aqui.</t>
        </is>
      </c>
    </row>
    <row r="31" ht="17" customHeight="1">
      <c r="A31" s="4" t="inlineStr"/>
      <c r="B31" s="5" t="inlineStr">
        <is>
          <t>CAMILA: contratada recentemente; agosto é o primeiro mês completo, com salário integral de R$ 1.621,00.</t>
        </is>
      </c>
    </row>
    <row r="32" ht="17" customHeight="1">
      <c r="A32" s="4" t="inlineStr"/>
      <c r="B32" s="5" t="inlineStr">
        <is>
          <t>SARA: a comissão dela na loja Centro (R$ 2,65) foi somada aqui, na linha COMPLEMENTO / COMISSÃO PDV.</t>
        </is>
      </c>
    </row>
    <row r="33" ht="17" customHeight="1">
      <c r="A33" s="4" t="inlineStr"/>
      <c r="B33" s="5" t="inlineStr">
        <is>
          <t>DEAN: não recebe comissão sobre vendas — a rubrica fica zerada na folha (a apurada, R$ 975,65, aparece só na aba BASE). Os incentivos dele continuam sendo pagos normalmente.</t>
        </is>
      </c>
    </row>
    <row r="34" ht="20" customHeight="1">
      <c r="A34" s="3" t="inlineStr">
        <is>
          <t>PENDÊNCIAS — CONFIRMAR ANTES DE ENVIAR</t>
        </is>
      </c>
    </row>
    <row r="35" ht="17" customHeight="1">
      <c r="A35" s="4" t="inlineStr">
        <is>
          <t>•</t>
        </is>
      </c>
      <c r="B35" s="6" t="inlineStr">
        <is>
          <t>VALÉRIA e AGNOR: as madrugadas entraram como 8 horas cada (jornada normal com intervalo). Se só parte dessas horas ficou entre 22h e 5h, ajustar a quantidade na aba PONTO AGO.26.</t>
        </is>
      </c>
    </row>
    <row r="36" ht="17" customHeight="1">
      <c r="A36" s="4" t="inlineStr">
        <is>
          <t>•</t>
        </is>
      </c>
      <c r="B36" s="6" t="inlineStr">
        <is>
          <t>EDEY: o adicional noturno está lançado como valor fixo de R$ 350,00 — conferir com o apontamento do ponto.</t>
        </is>
      </c>
    </row>
    <row r="37" ht="17" customHeight="1">
      <c r="A37" s="4" t="inlineStr">
        <is>
          <t>•</t>
        </is>
      </c>
      <c r="B37" s="6" t="inlineStr">
        <is>
          <t>Confirmar o critério do feriado trabalhado: está sendo pago 1 salário-dia a mais (R$ 54,03) por feriado sem folga.</t>
        </is>
      </c>
    </row>
    <row r="38" ht="17" customHeight="1">
      <c r="A38" s="4" t="inlineStr">
        <is>
          <t>•</t>
        </is>
      </c>
      <c r="B38" s="6" t="inlineStr">
        <is>
          <t>Prêmio cota geral e prêmio pré-vencidos de agosto.</t>
        </is>
      </c>
    </row>
    <row r="39" ht="17" customHeight="1">
      <c r="A39" s="4" t="inlineStr">
        <is>
          <t>•</t>
        </is>
      </c>
      <c r="B39" s="6" t="inlineStr">
        <is>
          <t>Vales adiantados, convênio e faltas de agosto.</t>
        </is>
      </c>
    </row>
    <row r="40" ht="17" customHeight="1">
      <c r="A40" s="4" t="inlineStr">
        <is>
          <t>•</t>
        </is>
      </c>
      <c r="B40" s="6" t="inlineStr">
        <is>
          <t>JOEL: confirmar se há algum desconto para agosto (convênio, vale ou adiantamento) — hoje o holerite dele fica só com a comissão de R$ 103,31 e o DSR.</t>
        </is>
      </c>
    </row>
    <row r="41" ht="17" customHeight="1">
      <c r="A41" s="4" t="inlineStr">
        <is>
          <t>•</t>
        </is>
      </c>
      <c r="B41" s="6" t="inlineStr">
        <is>
          <t>JOEL: como o retorno é em 04/09, o vale-transporte de setembro deve ser proporcional e o holerite de setembro ainda pega os dias 01 a 03/09 de férias, já pagos no recibo de agosto.</t>
        </is>
      </c>
    </row>
    <row r="42" ht="17" customHeight="1">
      <c r="A42" s="4" t="inlineStr">
        <is>
          <t>•</t>
        </is>
      </c>
      <c r="B42" s="6" t="inlineStr">
        <is>
          <t>Comissões de PDV antigos, que em julho eram somadas à comissão do sistema.</t>
        </is>
      </c>
    </row>
    <row r="43" ht="17" customHeight="1">
      <c r="A43" s="4" t="inlineStr">
        <is>
          <t>•</t>
        </is>
      </c>
      <c r="B43" s="6" t="inlineStr">
        <is>
          <t>Desconto de vale-transporte: vem sendo lançado R$ 84,29; 6% do salário de R$ 1.621,00 seria R$ 97,26.</t>
        </is>
      </c>
    </row>
    <row r="44" ht="17" customHeight="1">
      <c r="A44" s="4" t="inlineStr">
        <is>
          <t>•</t>
        </is>
      </c>
      <c r="B44" s="6" t="inlineStr">
        <is>
          <t>DSR de julho/2026 foi calculado com o fator de agosto (5/26) em vez de 4/27 — ver aba JULHO.26 REVISADO e decidir se ajusta em setembro.</t>
        </is>
      </c>
    </row>
    <row r="45" ht="20" customHeight="1">
      <c r="A45" s="3" t="inlineStr">
        <is>
          <t>OBSERVAÇÃO TÉCNICA</t>
        </is>
      </c>
    </row>
    <row r="46" ht="17" customHeight="1">
      <c r="A46" s="4" t="inlineStr"/>
      <c r="B46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47" ht="20" customHeight="1">
      <c r="A47" s="3" t="inlineStr">
        <is>
          <t>ABAS DO ARQUIVO</t>
        </is>
      </c>
    </row>
    <row r="48" ht="17" customHeight="1">
      <c r="A48" s="4" t="inlineStr"/>
      <c r="B48" s="5" t="inlineStr">
        <is>
          <t>HOLERITE AGO.26 — relatório principal da competência agosto/2026.</t>
        </is>
      </c>
    </row>
    <row r="49" ht="17" customHeight="1">
      <c r="A49" s="4" t="inlineStr"/>
      <c r="B49" s="5" t="inlineStr">
        <is>
          <t>PONTO AGO.26 — apontamento de horas extras, adicional noturno e feriado trabalhado; alimenta o holerite.</t>
        </is>
      </c>
    </row>
    <row r="50" ht="17" customHeight="1">
      <c r="A50" s="4" t="inlineStr"/>
      <c r="B50" s="5" t="inlineStr">
        <is>
          <t>GANHOS DO COLABORADOR — escolha o nome na lista e saia o demonstrativo individual, pronto para imprimir/mandar.</t>
        </is>
      </c>
    </row>
    <row r="51" ht="17" customHeight="1">
      <c r="A51" s="4" t="inlineStr"/>
      <c r="B51" s="5" t="inlineStr">
        <is>
          <t>LISTA CONTABILIDADE — os mesmos lançamentos em formato de lista por funcionário.</t>
        </is>
      </c>
    </row>
    <row r="52" ht="17" customHeight="1">
      <c r="A52" s="4" t="inlineStr"/>
      <c r="B52" s="5" t="inlineStr">
        <is>
          <t>BASE INOVAFARMA AGO.26 — apuração de comissões e incentivos por vendedor.</t>
        </is>
      </c>
    </row>
    <row r="53" ht="17" customHeight="1">
      <c r="A53" s="4" t="inlineStr"/>
      <c r="B53" s="5" t="inlineStr">
        <is>
          <t>JULHO.26 REVISADO — a folha de julho reorganizada e conferida (valores pagos preservados).</t>
        </is>
      </c>
    </row>
    <row r="54" ht="17" customHeight="1">
      <c r="A54" s="4" t="inlineStr"/>
      <c r="B54" s="5" t="inlineStr">
        <is>
          <t>PARÂMETROS — calendário do mês, fator do DSR e valores fixos.</t>
        </is>
      </c>
    </row>
    <row r="56">
      <c r="B56" s="7" t="inlineStr">
        <is>
          <t>Documento gerado a partir da planilha CONISSÕES PLAN.AGOSTO/JULHO ARRAIAL 2026 e do relatório de comissões do InovaFarma.</t>
        </is>
      </c>
    </row>
  </sheetData>
  <mergeCells count="10">
    <mergeCell ref="A4:B4"/>
    <mergeCell ref="A21:B21"/>
    <mergeCell ref="A2:B2"/>
    <mergeCell ref="A10:B10"/>
    <mergeCell ref="A28:B28"/>
    <mergeCell ref="A45:B45"/>
    <mergeCell ref="A47:B47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Referência de jul/2026. O valor efetivo é lançado na aba PONTO AGO.26 — conferir com o apontamento.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Horas mensais (base do salário-hora)</t>
        </is>
      </c>
      <c r="B20" s="9" t="n">
        <v>220</v>
      </c>
      <c r="C20" s="10" t="inlineStr">
        <is>
          <t>Salário-hora = salário base ÷ 220.</t>
        </is>
      </c>
    </row>
    <row r="21">
      <c r="A21" s="8" t="inlineStr">
        <is>
          <t>Adicional de hora extra</t>
        </is>
      </c>
      <c r="B21" s="12" t="n">
        <v>0.5</v>
      </c>
      <c r="C21" s="10" t="inlineStr">
        <is>
          <t>50% sobre a hora normal (hora extra = salário-hora × 1,5).</t>
        </is>
      </c>
    </row>
    <row r="22">
      <c r="A22" s="8" t="inlineStr">
        <is>
          <t>Adicional noturno</t>
        </is>
      </c>
      <c r="B22" s="12" t="n">
        <v>0.2</v>
      </c>
      <c r="C22" s="10" t="inlineStr">
        <is>
          <t>20% sobre a hora normal, nas horas entre 22h e 5h.</t>
        </is>
      </c>
    </row>
    <row r="23">
      <c r="A23" s="8" t="inlineStr">
        <is>
          <t>Dias do mês para o salário-dia</t>
        </is>
      </c>
      <c r="B23" s="9" t="n">
        <v>30</v>
      </c>
      <c r="C23" s="10" t="inlineStr">
        <is>
          <t>Salário-dia = salário base ÷ 30. Usado no feriado trabalhado.</t>
        </is>
      </c>
    </row>
    <row r="24">
      <c r="A24" s="8" t="inlineStr">
        <is>
          <t>Desconto vale-transporte 6%</t>
        </is>
      </c>
      <c r="B24" s="12" t="n">
        <v>-84.29000000000001</v>
      </c>
      <c r="C24" s="10" t="inlineStr">
        <is>
          <t>Valor praticado em jul/2026. 6% do salário base daria R$ 97,26 — CONFERIR.</t>
        </is>
      </c>
    </row>
    <row r="25" ht="20" customHeight="1">
      <c r="A25" s="3" t="inlineStr">
        <is>
          <t>INSS / IRRF</t>
        </is>
      </c>
    </row>
    <row r="26">
      <c r="A26" s="8" t="inlineStr">
        <is>
          <t>INSS</t>
        </is>
      </c>
      <c r="B26" s="9" t="inlineStr">
        <is>
          <t>a calcular</t>
        </is>
      </c>
      <c r="C26" s="10" t="inlineStr">
        <is>
          <t>Calculado pela contabilidade sobre o total de proventos (tabela progressiva vigente).</t>
        </is>
      </c>
    </row>
    <row r="27">
      <c r="A27" s="8" t="inlineStr">
        <is>
          <t>IRRF</t>
        </is>
      </c>
      <c r="B27" s="9" t="inlineStr">
        <is>
          <t>a calcular</t>
        </is>
      </c>
      <c r="C27" s="10" t="inlineStr">
        <is>
          <t>Calculado pela contabilidade após dedução do INSS e dependentes.</t>
        </is>
      </c>
    </row>
  </sheetData>
  <mergeCells count="6">
    <mergeCell ref="A25:C25"/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SARA também vendeu R$ 365,03 pelo código dela na loja CENTRO, com R$ 2,65 de comissão. Esse valor foi somado à folha dela aqui, na linha COMPLEMENTO / COMISSÃO PDV.</t>
        </is>
      </c>
    </row>
    <row r="24" ht="26" customHeight="1">
      <c r="A24" s="25" t="inlineStr">
        <is>
          <t>DEAN não recebe comissão em folha: no caso dele a comissão apurada acima é apenas informativa. Os incentivos dele continuam sendo lançados normalmente.</t>
        </is>
      </c>
    </row>
    <row r="25" ht="26" customHeight="1">
      <c r="A25" s="25" t="inlineStr">
        <is>
          <t>JOEL: vendeu R$ 3.684,97 nos dias 01 e 02/08 e saiu de férias em 04/08 (retorno em 04/09) — daí a comissão de R$ 103,31. Constam ainda 2 itens de R$ 11,68 em 07/08 no código dele.</t>
        </is>
      </c>
    </row>
  </sheetData>
  <autoFilter ref="A4:J12"/>
  <mergeCells count="8">
    <mergeCell ref="A1:J1"/>
    <mergeCell ref="A23:J23"/>
    <mergeCell ref="A22:J22"/>
    <mergeCell ref="A21:J21"/>
    <mergeCell ref="A20:J20"/>
    <mergeCell ref="A24:J24"/>
    <mergeCell ref="A2:J2"/>
    <mergeCell ref="A25:J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zerado — trabalhou de 01 a 03/08 mas esses dias já estão dentro do recibo de férias (01 a 31/08); se a empresa decidir pagá-los à parte, lançar aqui.</t>
        </is>
      </c>
    </row>
    <row r="7">
      <c r="A7" s="30" t="inlineStr">
        <is>
          <t>ADICIONAL NOTURNO</t>
        </is>
      </c>
      <c r="B7" s="34">
        <f>SUMIFS('PONTO AGO.26'!$G$5:$G$21,'PONTO AGO.26'!$A$5:$A$21,B$4,'PONTO AGO.26'!$H$5:$H$21,"ADICIONAL NOTURNO")</f>
        <v/>
      </c>
      <c r="C7" s="34">
        <f>SUMIFS('PONTO AGO.26'!$G$5:$G$21,'PONTO AGO.26'!$A$5:$A$21,C$4,'PONTO AGO.26'!$H$5:$H$21,"ADICIONAL NOTURNO")</f>
        <v/>
      </c>
      <c r="D7" s="34">
        <f>SUMIFS('PONTO AGO.26'!$G$5:$G$21,'PONTO AGO.26'!$A$5:$A$21,D$4,'PONTO AGO.26'!$H$5:$H$21,"ADICIONAL NOTURNO")</f>
        <v/>
      </c>
      <c r="E7" s="34">
        <f>SUMIFS('PONTO AGO.26'!$G$5:$G$21,'PONTO AGO.26'!$A$5:$A$21,E$4,'PONTO AGO.26'!$H$5:$H$21,"ADICIONAL NOTURNO")</f>
        <v/>
      </c>
      <c r="F7" s="34">
        <f>SUMIFS('PONTO AGO.26'!$G$5:$G$21,'PONTO AGO.26'!$A$5:$A$21,F$4,'PONTO AGO.26'!$H$5:$H$21,"ADICIONAL NOTURNO")</f>
        <v/>
      </c>
      <c r="G7" s="34">
        <f>SUMIFS('PONTO AGO.26'!$G$5:$G$21,'PONTO AGO.26'!$A$5:$A$21,G$4,'PONTO AGO.26'!$H$5:$H$21,"ADICIONAL NOTURNO")</f>
        <v/>
      </c>
      <c r="H7" s="34">
        <f>SUMIFS('PONTO AGO.26'!$G$5:$G$21,'PONTO AGO.26'!$A$5:$A$21,H$4,'PONTO AGO.26'!$H$5:$H$21,"ADICIONAL NOTURNO")</f>
        <v/>
      </c>
      <c r="I7" s="34">
        <f>SUMIFS('PONTO AGO.26'!$G$5:$G$21,'PONTO AGO.26'!$A$5:$A$21,I$4,'PONTO AGO.26'!$H$5:$H$21,"ADICIONAL NOTURNO")</f>
        <v/>
      </c>
      <c r="J7" s="32">
        <f>SUM(B7:I7)</f>
        <v/>
      </c>
      <c r="K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AGO.26'!$G$5:$G$21,'PONTO AGO.26'!$A$5:$A$21,B$4,'PONTO AGO.26'!$H$5:$H$21,"HORAS EXTRAS")</f>
        <v/>
      </c>
      <c r="C8" s="34">
        <f>SUMIFS('PONTO AGO.26'!$G$5:$G$21,'PONTO AGO.26'!$A$5:$A$21,C$4,'PONTO AGO.26'!$H$5:$H$21,"HORAS EXTRAS")</f>
        <v/>
      </c>
      <c r="D8" s="34">
        <f>SUMIFS('PONTO AGO.26'!$G$5:$G$21,'PONTO AGO.26'!$A$5:$A$21,D$4,'PONTO AGO.26'!$H$5:$H$21,"HORAS EXTRAS")</f>
        <v/>
      </c>
      <c r="E8" s="34">
        <f>SUMIFS('PONTO AGO.26'!$G$5:$G$21,'PONTO AGO.26'!$A$5:$A$21,E$4,'PONTO AGO.26'!$H$5:$H$21,"HORAS EXTRAS")</f>
        <v/>
      </c>
      <c r="F8" s="34">
        <f>SUMIFS('PONTO AGO.26'!$G$5:$G$21,'PONTO AGO.26'!$A$5:$A$21,F$4,'PONTO AGO.26'!$H$5:$H$21,"HORAS EXTRAS")</f>
        <v/>
      </c>
      <c r="G8" s="34">
        <f>SUMIFS('PONTO AGO.26'!$G$5:$G$21,'PONTO AGO.26'!$A$5:$A$21,G$4,'PONTO AGO.26'!$H$5:$H$21,"HORAS EXTRAS")</f>
        <v/>
      </c>
      <c r="H8" s="34">
        <f>SUMIFS('PONTO AGO.26'!$G$5:$G$21,'PONTO AGO.26'!$A$5:$A$21,H$4,'PONTO AGO.26'!$H$5:$H$21,"HORAS EXTRAS")</f>
        <v/>
      </c>
      <c r="I8" s="34">
        <f>SUMIFS('PONTO AGO.26'!$G$5:$G$21,'PONTO AGO.26'!$A$5:$A$21,I$4,'PONTO AGO.26'!$H$5:$H$21,"HORAS EXTRAS")</f>
        <v/>
      </c>
      <c r="J8" s="20">
        <f>SUM(B8:I8)</f>
        <v/>
      </c>
      <c r="K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'BASE INOVAFARMA AGO.26'!F6</f>
        <v/>
      </c>
      <c r="D9" s="34">
        <f>'BASE INOVAFARMA AGO.26'!F7</f>
        <v/>
      </c>
      <c r="E9" s="34">
        <f>'BASE INOVAFARMA AGO.26'!F8</f>
        <v/>
      </c>
      <c r="F9" s="34">
        <f>'BASE INOVAFARMA AGO.26'!F9</f>
        <v/>
      </c>
      <c r="G9" s="34">
        <f>'BASE INOVAFARMA AGO.26'!F10</f>
        <v/>
      </c>
      <c r="H9" s="34">
        <f>'BASE INOVAFARMA AGO.26'!F11</f>
        <v/>
      </c>
      <c r="I9" s="34">
        <f>'BASE INOVAFARMA AGO.26'!F12</f>
        <v/>
      </c>
      <c r="J9" s="20">
        <f>SUM(B9:I9)</f>
        <v/>
      </c>
      <c r="K9" s="33" t="inlineStr">
        <is>
          <t>Apurado no InovaFarma (aba BASE INOVAFARMA AGO.26). JOEL: R$ 103,31 das vendas dele nos dias 01 e 02/08, antes de sair de férias em 04/08 (o recibo de férias saiu como 01 a 31/08).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>
        <v>2.65</v>
      </c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SARA: R$ 2,65 de comissão apurada no código dela na loja CENTRO (venda bruta de R$ 365,03), trazida para a folha do Arraial. Demais: preencher com PDV antigos,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35">
        <f>ROUND((G11+G8)*PARÂMETROS!$B$12,2)</f>
        <v/>
      </c>
      <c r="H12" s="35">
        <f>ROUND((H11+H8)*PARÂMETROS!$B$12,2)</f>
        <v/>
      </c>
      <c r="I12" s="35">
        <f>ROUND((I11+I8)*PARÂMETROS!$B$12,2)</f>
        <v/>
      </c>
      <c r="J12" s="20">
        <f>SUM(B12:I12)</f>
        <v/>
      </c>
      <c r="K12" s="33" t="inlineStr">
        <is>
          <t>Cálculo: (comissão total + horas extras) × 5 domingos ÷ 26 dias úteis de agosto/2026 (fator na aba PARÂMETROS). A linha HORAS EXTRAS inclui o feriado trabalhado vindo da aba PONTO AGO.26.</t>
        </is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JOEL: recibo de férias de 01 a 31/08/2026, JÁ PAGO no início de agosto — NÃO lançar de novo aqui. Pelo acordo interno ele saiu em 04/08 e volta em 04/09.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JOEL: também já pago com as férias no início de agosto. Linha mantida para eventuais férias de outros meses.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34">
        <f>'BASE INOVAFARMA AGO.26'!G11</f>
        <v/>
      </c>
      <c r="I19" s="34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34">
        <f>'BASE INOVAFARMA AGO.26'!H11</f>
        <v/>
      </c>
      <c r="I20" s="34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34">
        <f>'BASE INOVAFARMA AGO.26'!I11</f>
        <v/>
      </c>
      <c r="I21" s="34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/ VALES</t>
        </is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/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 JOEL: zerado, mês de férias.</t>
        </is>
      </c>
    </row>
    <row r="29">
      <c r="A29" s="30" t="inlineStr">
        <is>
          <t>DESCONTO INSS</t>
        </is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20">
        <f>SUM(B35:I35)</f>
        <v/>
      </c>
      <c r="K35" s="33" t="inlineStr">
        <is>
          <t>PREENCHER com as passagens compradas para setembro/2026. JOEL: só a partir de 04/09, quando volta das férias.</t>
        </is>
      </c>
    </row>
    <row r="36">
      <c r="A36" s="30" t="inlineStr">
        <is>
          <t>VALE ALIMENTAÇÃO FERIADOS E DOMINGOS</t>
        </is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20">
        <f>SUM(B36:I36)</f>
        <v/>
      </c>
      <c r="K36" s="33" t="inlineStr">
        <is>
          <t>PREENCHER conforme escala de domingos/feriados de agosto.</t>
        </is>
      </c>
    </row>
    <row r="38">
      <c r="A38" s="21" t="inlineStr">
        <is>
          <t>LEGENDA</t>
        </is>
      </c>
      <c r="B38" s="7" t="inlineStr"/>
    </row>
    <row r="39">
      <c r="A39" s="21" t="inlineStr">
        <is>
          <t>Célula amarela, texto azul</t>
        </is>
      </c>
      <c r="B39" s="7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7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7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7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6" t="n">
        <v>5648.41</v>
      </c>
      <c r="C6" s="36" t="n">
        <v>1621</v>
      </c>
      <c r="D6" s="36" t="n">
        <v>1621</v>
      </c>
      <c r="E6" s="36" t="n">
        <v>1621</v>
      </c>
      <c r="F6" s="36" t="n">
        <v>1621</v>
      </c>
      <c r="G6" s="36" t="n">
        <v>1621</v>
      </c>
      <c r="H6" s="36" t="n">
        <v>595</v>
      </c>
      <c r="I6" s="36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6" t="n"/>
      <c r="C7" s="36" t="n"/>
      <c r="D7" s="36" t="n">
        <v>350</v>
      </c>
      <c r="E7" s="36" t="n"/>
      <c r="F7" s="36" t="n"/>
      <c r="G7" s="36" t="n"/>
      <c r="H7" s="36" t="n"/>
      <c r="I7" s="36" t="n"/>
      <c r="J7" s="20">
        <f>SUM(B7:I7)</f>
        <v/>
      </c>
      <c r="K7" s="33" t="inlineStr"/>
    </row>
    <row r="8">
      <c r="A8" s="30" t="inlineStr">
        <is>
          <t>HORAS EXTRAS</t>
        </is>
      </c>
      <c r="B8" s="36" t="n"/>
      <c r="C8" s="36" t="n"/>
      <c r="D8" s="36" t="n">
        <v>442.09</v>
      </c>
      <c r="E8" s="36" t="n"/>
      <c r="F8" s="36" t="n"/>
      <c r="G8" s="36" t="n"/>
      <c r="H8" s="36" t="n"/>
      <c r="I8" s="36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6" t="n"/>
      <c r="C9" s="36" t="n">
        <v>2000</v>
      </c>
      <c r="D9" s="36" t="n">
        <v>1202</v>
      </c>
      <c r="E9" s="36" t="n">
        <v>1693.68</v>
      </c>
      <c r="F9" s="36" t="n">
        <v>1071</v>
      </c>
      <c r="G9" s="36" t="n">
        <v>345</v>
      </c>
      <c r="H9" s="36" t="n">
        <v>120</v>
      </c>
      <c r="I9" s="36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6" t="n"/>
      <c r="C10" s="36" t="n">
        <v>384.62</v>
      </c>
      <c r="D10" s="36" t="n">
        <v>401.19</v>
      </c>
      <c r="E10" s="36" t="n">
        <v>325.71</v>
      </c>
      <c r="F10" s="36" t="n">
        <v>205.96</v>
      </c>
      <c r="G10" s="36" t="n">
        <v>66.34999999999999</v>
      </c>
      <c r="H10" s="36" t="n"/>
      <c r="I10" s="36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6" t="n"/>
      <c r="C11" s="36" t="n">
        <v>810.5</v>
      </c>
      <c r="D11" s="36" t="n"/>
      <c r="E11" s="36" t="n"/>
      <c r="F11" s="36" t="n"/>
      <c r="G11" s="36" t="n">
        <v>810.5</v>
      </c>
      <c r="H11" s="36" t="n"/>
      <c r="I11" s="36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6" t="n"/>
      <c r="C12" s="36" t="n"/>
      <c r="D12" s="36" t="n"/>
      <c r="E12" s="36" t="n"/>
      <c r="F12" s="36" t="n">
        <v>307.99</v>
      </c>
      <c r="G12" s="36" t="n"/>
      <c r="H12" s="36" t="n"/>
      <c r="I12" s="36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6" t="n"/>
      <c r="C13" s="36" t="n"/>
      <c r="D13" s="36" t="n">
        <v>250</v>
      </c>
      <c r="E13" s="36" t="n">
        <v>250</v>
      </c>
      <c r="F13" s="36" t="n">
        <v>250</v>
      </c>
      <c r="G13" s="36" t="n">
        <v>150</v>
      </c>
      <c r="H13" s="36" t="n"/>
      <c r="I13" s="36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6" t="n"/>
      <c r="C14" s="36" t="n"/>
      <c r="D14" s="36" t="n">
        <v>100</v>
      </c>
      <c r="E14" s="36" t="n">
        <v>200</v>
      </c>
      <c r="F14" s="36" t="n">
        <v>250</v>
      </c>
      <c r="G14" s="36" t="n">
        <v>100</v>
      </c>
      <c r="H14" s="36" t="n"/>
      <c r="I14" s="36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6" t="n"/>
      <c r="C15" s="36" t="n">
        <v>264</v>
      </c>
      <c r="D15" s="36" t="n">
        <v>100</v>
      </c>
      <c r="E15" s="36" t="n">
        <v>290</v>
      </c>
      <c r="F15" s="36" t="n">
        <v>292</v>
      </c>
      <c r="G15" s="36" t="n"/>
      <c r="H15" s="36" t="n"/>
      <c r="I15" s="36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6" t="n"/>
      <c r="C16" s="36" t="n"/>
      <c r="D16" s="36" t="n"/>
      <c r="E16" s="36" t="n"/>
      <c r="F16" s="36" t="n">
        <v>40</v>
      </c>
      <c r="G16" s="36" t="n"/>
      <c r="H16" s="36" t="n"/>
      <c r="I16" s="36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6" t="n"/>
      <c r="C19" s="36" t="n">
        <v>-2300</v>
      </c>
      <c r="D19" s="36" t="n">
        <v>-1500</v>
      </c>
      <c r="E19" s="36" t="n">
        <v>-1300</v>
      </c>
      <c r="F19" s="36" t="n">
        <v>-1300</v>
      </c>
      <c r="G19" s="36" t="n">
        <v>-1200</v>
      </c>
      <c r="H19" s="36" t="n"/>
      <c r="I19" s="36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6" t="n"/>
      <c r="C20" s="36" t="n">
        <v>-264</v>
      </c>
      <c r="D20" s="36" t="n">
        <v>-100</v>
      </c>
      <c r="E20" s="36" t="n">
        <v>-290</v>
      </c>
      <c r="F20" s="36" t="n">
        <v>-332</v>
      </c>
      <c r="G20" s="36" t="n"/>
      <c r="H20" s="36" t="n"/>
      <c r="I20" s="36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6" t="n"/>
      <c r="C21" s="36" t="n">
        <v>-300</v>
      </c>
      <c r="D21" s="36" t="n"/>
      <c r="E21" s="36" t="n">
        <v>-500</v>
      </c>
      <c r="F21" s="36" t="n">
        <v>-300</v>
      </c>
      <c r="G21" s="36" t="n">
        <v>-300</v>
      </c>
      <c r="H21" s="36" t="n"/>
      <c r="I21" s="36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6" t="n"/>
      <c r="C23" s="36" t="n"/>
      <c r="D23" s="36" t="n">
        <v>-84.29000000000001</v>
      </c>
      <c r="E23" s="36" t="n">
        <v>-84.29000000000001</v>
      </c>
      <c r="F23" s="36" t="n">
        <v>-84.29000000000001</v>
      </c>
      <c r="G23" s="36" t="n"/>
      <c r="H23" s="36" t="n"/>
      <c r="I23" s="36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6" t="n">
        <v>-592.27</v>
      </c>
      <c r="C24" s="36" t="n">
        <v>-480.85</v>
      </c>
      <c r="D24" s="36" t="n">
        <v>-426.78</v>
      </c>
      <c r="E24" s="36" t="n">
        <v>-414.75</v>
      </c>
      <c r="F24" s="36" t="n">
        <v>-373.14</v>
      </c>
      <c r="G24" s="36" t="n">
        <v>-213.94</v>
      </c>
      <c r="H24" s="36" t="n"/>
      <c r="I24" s="36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6" t="n">
        <v>-251.04</v>
      </c>
      <c r="C25" s="36" t="n"/>
      <c r="D25" s="36" t="n"/>
      <c r="E25" s="36" t="n"/>
      <c r="F25" s="36" t="n"/>
      <c r="G25" s="36" t="n"/>
      <c r="H25" s="36" t="n"/>
      <c r="I25" s="36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6" t="n">
        <v>4805.1</v>
      </c>
      <c r="C29" s="36" t="n">
        <v>1735.27</v>
      </c>
      <c r="D29" s="36" t="n">
        <v>2355.21</v>
      </c>
      <c r="E29" s="36" t="n">
        <v>1791.35</v>
      </c>
      <c r="F29" s="36" t="n">
        <v>1648.52</v>
      </c>
      <c r="G29" s="36" t="n">
        <v>1378.91</v>
      </c>
      <c r="H29" s="36" t="n">
        <v>715</v>
      </c>
      <c r="I29" s="36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5">
        <f>B10</f>
        <v/>
      </c>
      <c r="C32" s="35">
        <f>C10</f>
        <v/>
      </c>
      <c r="D32" s="35">
        <f>D10</f>
        <v/>
      </c>
      <c r="E32" s="35">
        <f>E10</f>
        <v/>
      </c>
      <c r="F32" s="35">
        <f>F10</f>
        <v/>
      </c>
      <c r="G32" s="35">
        <f>G10</f>
        <v/>
      </c>
      <c r="H32" s="35">
        <f>H10</f>
        <v/>
      </c>
      <c r="I32" s="35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5">
        <f>ROUND((B9+B8)*4/27,2)</f>
        <v/>
      </c>
      <c r="C33" s="35">
        <f>ROUND((C9+C8)*4/27,2)</f>
        <v/>
      </c>
      <c r="D33" s="35">
        <f>ROUND((D9+D8)*4/27,2)</f>
        <v/>
      </c>
      <c r="E33" s="35">
        <f>ROUND((E9+E8)*4/27,2)</f>
        <v/>
      </c>
      <c r="F33" s="35">
        <f>ROUND((F9+F8)*4/27,2)</f>
        <v/>
      </c>
      <c r="G33" s="35">
        <f>ROUND((G9+G8)*4/27,2)</f>
        <v/>
      </c>
      <c r="H33" s="35">
        <f>ROUND((H9+H8)*4/27,2)</f>
        <v/>
      </c>
      <c r="I33" s="35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6" t="n">
        <v>350</v>
      </c>
      <c r="C36" s="36" t="n"/>
      <c r="D36" s="36" t="n">
        <v>416</v>
      </c>
      <c r="E36" s="36" t="n"/>
      <c r="F36" s="36" t="n">
        <v>500</v>
      </c>
      <c r="G36" s="36" t="n"/>
      <c r="H36" s="36" t="n">
        <v>135</v>
      </c>
      <c r="I36" s="36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6" t="n">
        <v>647</v>
      </c>
      <c r="C37" s="36" t="n">
        <v>84</v>
      </c>
      <c r="D37" s="36" t="n">
        <v>48</v>
      </c>
      <c r="E37" s="36" t="n">
        <v>50</v>
      </c>
      <c r="F37" s="36" t="n">
        <v>75</v>
      </c>
      <c r="G37" s="36" t="n">
        <v>84</v>
      </c>
      <c r="H37" s="36" t="n"/>
      <c r="I37" s="36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4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4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4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/ VALES</t>
        </is>
      </c>
      <c r="C18" s="30" t="inlineStr">
        <is>
          <t>Desconto</t>
        </is>
      </c>
      <c r="D18" s="34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4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4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4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4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4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4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4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4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4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4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4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4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4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4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4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4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4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4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/ VALES</t>
        </is>
      </c>
      <c r="C41" s="30" t="inlineStr">
        <is>
          <t>Desconto</t>
        </is>
      </c>
      <c r="D41" s="34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4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4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4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4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4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4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4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4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4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4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4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4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4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4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4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4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4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4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/ VALES</t>
        </is>
      </c>
      <c r="C64" s="30" t="inlineStr">
        <is>
          <t>Desconto</t>
        </is>
      </c>
      <c r="D64" s="34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4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4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4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4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4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4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4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4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4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4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4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4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4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4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4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4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4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4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/ VALES</t>
        </is>
      </c>
      <c r="C87" s="30" t="inlineStr">
        <is>
          <t>Desconto</t>
        </is>
      </c>
      <c r="D87" s="34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4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4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4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4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4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4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4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4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4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4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4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4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4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4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4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4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4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4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/ VALES</t>
        </is>
      </c>
      <c r="C110" s="30" t="inlineStr">
        <is>
          <t>Desconto</t>
        </is>
      </c>
      <c r="D110" s="34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4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4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4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4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4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4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4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4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4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4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4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4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4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4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4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4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4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4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/ VALES</t>
        </is>
      </c>
      <c r="C133" s="30" t="inlineStr">
        <is>
          <t>Desconto</t>
        </is>
      </c>
      <c r="D133" s="34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4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4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4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4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4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4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4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4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4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4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4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4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4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4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4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4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4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4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/ VALES</t>
        </is>
      </c>
      <c r="C156" s="30" t="inlineStr">
        <is>
          <t>Desconto</t>
        </is>
      </c>
      <c r="D156" s="34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4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4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4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4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4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4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4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4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4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4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4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4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4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4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4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4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4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4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/ VALES</t>
        </is>
      </c>
      <c r="C179" s="30" t="inlineStr">
        <is>
          <t>Desconto</t>
        </is>
      </c>
      <c r="D179" s="34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4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4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4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4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4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4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Competência AGOSTO/2026 · Pagamento em 05/09/2026 · Farmácia Tropical Multi Econômica</t>
        </is>
      </c>
    </row>
    <row r="4">
      <c r="B4" s="48" t="inlineStr">
        <is>
          <t>Escolha o colaborador:</t>
        </is>
      </c>
      <c r="C4" s="49" t="inlineStr">
        <is>
          <t>DEAN</t>
        </is>
      </c>
      <c r="D4" s="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AGO.26'!$B$6:$I$6,1,MATCH($C$4,'HOLERITE AGO.26'!$B$4:$I$4,0)),0)</f>
        <v/>
      </c>
    </row>
    <row r="8">
      <c r="B8" s="30" t="inlineStr">
        <is>
          <t>Adicional noturno</t>
        </is>
      </c>
      <c r="C8" s="34">
        <f>IFERROR(INDEX('HOLERITE AGO.26'!$B$7:$I$7,1,MATCH($C$4,'HOLERITE AGO.26'!$B$4:$I$4,0)),0)</f>
        <v/>
      </c>
    </row>
    <row r="9">
      <c r="B9" s="30" t="inlineStr">
        <is>
          <t>Horas extras</t>
        </is>
      </c>
      <c r="C9" s="34">
        <f>IFERROR(INDEX('HOLERITE AGO.26'!$B$8:$I$8,1,MATCH($C$4,'HOLERITE AGO.26'!$B$4:$I$4,0)),0)</f>
        <v/>
      </c>
    </row>
    <row r="10">
      <c r="B10" s="30" t="inlineStr">
        <is>
          <t>Comissão sobre vendas</t>
        </is>
      </c>
      <c r="C10" s="34">
        <f>IFERROR(INDEX('HOLERITE AGO.26'!$B$11:$I$11,1,MATCH($C$4,'HOLERITE AGO.26'!$B$4:$I$4,0)),0)</f>
        <v/>
      </c>
    </row>
    <row r="11">
      <c r="B11" s="30" t="inlineStr">
        <is>
          <t>Repouso remunerado / DSR</t>
        </is>
      </c>
      <c r="C11" s="34">
        <f>IFERROR(INDEX('HOLERITE AGO.26'!$B$12:$I$12,1,MATCH($C$4,'HOLERITE AGO.26'!$B$4:$I$4,0)),0)</f>
        <v/>
      </c>
    </row>
    <row r="12">
      <c r="B12" s="30" t="inlineStr">
        <is>
          <t>Auxílio gerência</t>
        </is>
      </c>
      <c r="C12" s="34">
        <f>IFERROR(INDEX('HOLERITE AGO.26'!$B$13:$I$13,1,MATCH($C$4,'HOLERITE AGO.26'!$B$4:$I$4,0)),0)</f>
        <v/>
      </c>
    </row>
    <row r="13">
      <c r="B13" s="30" t="inlineStr">
        <is>
          <t>Adicional prêmio meta caixa</t>
        </is>
      </c>
      <c r="C13" s="34">
        <f>IFERROR(INDEX('HOLERITE AGO.26'!$B$14:$I$14,1,MATCH($C$4,'HOLERITE AGO.26'!$B$4:$I$4,0)),0)</f>
        <v/>
      </c>
    </row>
    <row r="14">
      <c r="B14" s="30" t="inlineStr">
        <is>
          <t>Prêmio cota geral</t>
        </is>
      </c>
      <c r="C14" s="34">
        <f>IFERROR(INDEX('HOLERITE AGO.26'!$B$15:$I$15,1,MATCH($C$4,'HOLERITE AGO.26'!$B$4:$I$4,0)),0)</f>
        <v/>
      </c>
    </row>
    <row r="15">
      <c r="B15" s="30" t="inlineStr">
        <is>
          <t>Prêmio pré-vencidos</t>
        </is>
      </c>
      <c r="C15" s="34">
        <f>IFERROR(INDEX('HOLERITE AGO.26'!$B$16:$I$16,1,MATCH($C$4,'HOLERITE AGO.26'!$B$4:$I$4,0)),0)</f>
        <v/>
      </c>
    </row>
    <row r="16">
      <c r="B16" s="30" t="inlineStr">
        <is>
          <t>Férias</t>
        </is>
      </c>
      <c r="C16" s="34">
        <f>IFERROR(INDEX('HOLERITE AGO.26'!$B$17:$I$17,1,MATCH($C$4,'HOLERITE AGO.26'!$B$4:$I$4,0)),0)</f>
        <v/>
      </c>
    </row>
    <row r="17">
      <c r="B17" s="30" t="inlineStr">
        <is>
          <t>1/3 constitucional de férias</t>
        </is>
      </c>
      <c r="C17" s="34">
        <f>IFERROR(INDEX('HOLERITE AGO.26'!$B$18:$I$18,1,MATCH($C$4,'HOLERITE AGO.26'!$B$4:$I$4,0)),0)</f>
        <v/>
      </c>
    </row>
    <row r="18">
      <c r="B18" s="30" t="inlineStr">
        <is>
          <t>Incentivo aplicações</t>
        </is>
      </c>
      <c r="C18" s="34">
        <f>IFERROR(INDEX('HOLERITE AGO.26'!$B$19:$I$19,1,MATCH($C$4,'HOLERITE AGO.26'!$B$4:$I$4,0)),0)</f>
        <v/>
      </c>
    </row>
    <row r="19">
      <c r="B19" s="30" t="inlineStr">
        <is>
          <t>Incentivo vitaminas</t>
        </is>
      </c>
      <c r="C19" s="34">
        <f>IFERROR(INDEX('HOLERITE AGO.26'!$B$20:$I$20,1,MATCH($C$4,'HOLERITE AGO.26'!$B$4:$I$4,0)),0)</f>
        <v/>
      </c>
    </row>
    <row r="20">
      <c r="B20" s="30" t="inlineStr">
        <is>
          <t>Outros incentivos</t>
        </is>
      </c>
      <c r="C20" s="34">
        <f>IFERROR(INDEX('HOLERITE AGO.26'!$B$21:$I$21,1,MATCH($C$4,'HOLERITE AGO.26'!$B$4:$I$4,0)),0)</f>
        <v/>
      </c>
    </row>
    <row r="21">
      <c r="B21" s="19" t="inlineStr">
        <is>
          <t>TOTAL DE PROVENTOS</t>
        </is>
      </c>
      <c r="C21" s="43">
        <f>IFERROR(INDEX('HOLERITE AGO.26'!$B$22:$I$22,1,MATCH($C$4,'HOLERITE AGO.26'!$B$4:$I$4,0)),0)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AGO.26'!$B$24:$I$24,1,MATCH($C$4,'HOLERITE AGO.26'!$B$4:$I$4,0)),0)</f>
        <v/>
      </c>
    </row>
    <row r="24">
      <c r="B24" s="30" t="inlineStr">
        <is>
          <t>Adiantamento de incentivos e aplicações</t>
        </is>
      </c>
      <c r="C24" s="34">
        <f>IFERROR(INDEX('HOLERITE AGO.26'!$B$25:$I$25,1,MATCH($C$4,'HOLERITE AGO.26'!$B$4:$I$4,0)),0)</f>
        <v/>
      </c>
    </row>
    <row r="25">
      <c r="B25" s="30" t="inlineStr">
        <is>
          <t>Convênio</t>
        </is>
      </c>
      <c r="C25" s="34">
        <f>IFERROR(INDEX('HOLERITE AGO.26'!$B$26:$I$26,1,MATCH($C$4,'HOLERITE AGO.26'!$B$4:$I$4,0)),0)</f>
        <v/>
      </c>
    </row>
    <row r="26">
      <c r="B26" s="30" t="inlineStr">
        <is>
          <t>Faltas / atrasos</t>
        </is>
      </c>
      <c r="C26" s="34">
        <f>IFERROR(INDEX('HOLERITE AGO.26'!$B$27:$I$27,1,MATCH($C$4,'HOLERITE AGO.26'!$B$4:$I$4,0)),0)</f>
        <v/>
      </c>
    </row>
    <row r="27">
      <c r="B27" s="30" t="inlineStr">
        <is>
          <t>Vale transporte 6%</t>
        </is>
      </c>
      <c r="C27" s="34">
        <f>IFERROR(INDEX('HOLERITE AGO.26'!$B$28:$I$28,1,MATCH($C$4,'HOLERITE AGO.26'!$B$4:$I$4,0)),0)</f>
        <v/>
      </c>
    </row>
    <row r="28">
      <c r="B28" s="30" t="inlineStr">
        <is>
          <t>INSS</t>
        </is>
      </c>
      <c r="C28" s="34">
        <f>IFERROR(INDEX('HOLERITE AGO.26'!$B$29:$I$29,1,MATCH($C$4,'HOLERITE AGO.26'!$B$4:$I$4,0)),0)</f>
        <v/>
      </c>
    </row>
    <row r="29">
      <c r="B29" s="30" t="inlineStr">
        <is>
          <t>IRRF</t>
        </is>
      </c>
      <c r="C29" s="34">
        <f>IFERROR(INDEX('HOLERITE AGO.26'!$B$30:$I$30,1,MATCH($C$4,'HOLERITE AGO.26'!$B$4:$I$4,0)),0)</f>
        <v/>
      </c>
    </row>
    <row r="30">
      <c r="B30" s="19" t="inlineStr">
        <is>
          <t>TOTAL DE DESCONTOS</t>
        </is>
      </c>
      <c r="C30" s="43">
        <f>IFERROR(INDEX('HOLERITE AGO.26'!$B$31:$I$31,1,MATCH($C$4,'HOLERITE AGO.26'!$B$4:$I$4,0)),0)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AGO.26'!$B$33:$I$33,1,MATCH($C$4,'HOLERITE AGO.26'!$B$4:$I$4,0)),0)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AGO.26'!$C$5:$C$12,MATCH($C$4,'BASE INOVAFARMA AGO.26'!$B$5:$B$12,0)),0)</f>
        <v/>
      </c>
    </row>
    <row r="36">
      <c r="B36" s="30" t="inlineStr">
        <is>
          <t>Descontos concedidos</t>
        </is>
      </c>
      <c r="C36" s="34">
        <f>IFERROR(INDEX('BASE INOVAFARMA AGO.26'!$D$5:$D$12,MATCH($C$4,'BASE INOVAFARMA AGO.26'!$B$5:$B$12,0)),0)</f>
        <v/>
      </c>
    </row>
    <row r="37">
      <c r="B37" s="30" t="inlineStr">
        <is>
          <t>Venda líquida</t>
        </is>
      </c>
      <c r="C37" s="34">
        <f>IFERROR(INDEX('BASE INOVAFARMA AGO.26'!$E$5:$E$12,MATCH($C$4,'BASE INOVAFARMA AGO.26'!$B$5:$B$12,0)),0)</f>
        <v/>
      </c>
    </row>
    <row r="38">
      <c r="B38" s="30" t="inlineStr">
        <is>
          <t>Comissão apurada</t>
        </is>
      </c>
      <c r="C38" s="34">
        <f>IFERROR(INDEX('BASE INOVAFARMA AGO.26'!$F$5:$F$12,MATCH($C$4,'BASE INOVAFARMA AGO.26'!$B$5:$B$12,0)),0)</f>
        <v/>
      </c>
    </row>
    <row r="39">
      <c r="B39" s="30" t="inlineStr">
        <is>
          <t>Total de incentivos</t>
        </is>
      </c>
      <c r="C39" s="34">
        <f>IFERROR(INDEX('BASE INOVAFARMA AGO.26'!$J$5:$J$12,MATCH($C$4,'BASE INOVAFARMA AGO.26'!$B$5:$B$12,0)),0)</f>
        <v/>
      </c>
    </row>
    <row r="41">
      <c r="B41" s="7" t="inlineStr">
        <is>
          <t>A comissão apurada acima é a apuração do sistema. O que entra na folha é a linha "Comissão sobre vendas" — pode ser diferente (valor fixo acordado, PDV antigos ou quem não recebe comissão).</t>
        </is>
      </c>
    </row>
    <row r="42">
      <c r="B42" s="7" t="inlineStr">
        <is>
          <t>Os valores de INSS e IRRF são calculados pela contabilidade e só aparecem aqui depois de preenchidos na aba HOLERITE AGO.26.</t>
        </is>
      </c>
    </row>
    <row r="43">
      <c r="B43" s="7" t="inlineStr">
        <is>
          <t>Para mandar para o colaborador: selecione o nome acima e imprima esta aba em PDF (ou tire um print).</t>
        </is>
      </c>
    </row>
    <row r="44">
      <c r="B44" s="7" t="inlineStr">
        <is>
          <t>Na aba LISTA CONTABILIDADE também dá para filtrar por FUNCIONÁRIO e ver só os lançamentos de uma pessoa.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Horas extras, adicional noturno e feriado trabalhado · alimenta as rubricas da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30" t="inlineStr">
        <is>
          <t>Horas extras 50%</t>
        </is>
      </c>
      <c r="C5" s="9" t="n">
        <v>24</v>
      </c>
      <c r="D5" s="14" t="inlineStr">
        <is>
          <t>horas</t>
        </is>
      </c>
      <c r="E5" s="34">
        <f>IFERROR(INDEX('HOLERITE AGO.26'!$B$6:$I$6,1,MATCH(A5,'HOLERITE AGO.26'!$B$4:$I$4,0)),0)</f>
        <v/>
      </c>
      <c r="F5" s="35">
        <f>ROUND(E5/PARÂMETROS!$B$20*(1+PARÂMETROS!$B$21),4)</f>
        <v/>
      </c>
      <c r="G5" s="20">
        <f>ROUND(C5*F5,2)</f>
        <v/>
      </c>
      <c r="H5" s="53" t="inlineStr">
        <is>
          <t>HORAS EXTRAS</t>
        </is>
      </c>
      <c r="I5" s="33" t="inlineStr">
        <is>
          <t>24 horas extras normais em agosto/2026.</t>
        </is>
      </c>
    </row>
    <row r="6">
      <c r="A6" s="15" t="inlineStr">
        <is>
          <t>EDEY</t>
        </is>
      </c>
      <c r="B6" s="30" t="inlineStr">
        <is>
          <t>Adicional noturno (valor fixo)</t>
        </is>
      </c>
      <c r="C6" s="9" t="n">
        <v>1</v>
      </c>
      <c r="D6" s="14" t="inlineStr">
        <is>
          <t>valor</t>
        </is>
      </c>
      <c r="E6" s="34">
        <f>IFERROR(INDEX('HOLERITE AGO.26'!$B$6:$I$6,1,MATCH(A6,'HOLERITE AGO.26'!$B$4:$I$4,0)),0)</f>
        <v/>
      </c>
      <c r="F6" s="31" t="n">
        <v>350</v>
      </c>
      <c r="G6" s="20">
        <f>ROUND(C6*F6,2)</f>
        <v/>
      </c>
      <c r="H6" s="53" t="inlineStr">
        <is>
          <t>ADICIONAL NOTURNO</t>
        </is>
      </c>
      <c r="I6" s="33" t="inlineStr">
        <is>
          <t>Adicional noturno lançado como valor fixo desde jul/26 — CONFERIR com o apontamento do ponto.</t>
        </is>
      </c>
    </row>
    <row r="7">
      <c r="A7" s="15" t="inlineStr">
        <is>
          <t>NATI</t>
        </is>
      </c>
      <c r="B7" s="30" t="inlineStr">
        <is>
          <t>Horas extras 50%</t>
        </is>
      </c>
      <c r="C7" s="9" t="n">
        <v>17</v>
      </c>
      <c r="D7" s="14" t="inlineStr">
        <is>
          <t>horas</t>
        </is>
      </c>
      <c r="E7" s="34">
        <f>IFERROR(INDEX('HOLERITE AGO.26'!$B$6:$I$6,1,MATCH(A7,'HOLERITE AGO.26'!$B$4:$I$4,0)),0)</f>
        <v/>
      </c>
      <c r="F7" s="35">
        <f>ROUND(E7/PARÂMETROS!$B$20*(1+PARÂMETROS!$B$21),4)</f>
        <v/>
      </c>
      <c r="G7" s="20">
        <f>ROUND(C7*F7,2)</f>
        <v/>
      </c>
      <c r="H7" s="53" t="inlineStr">
        <is>
          <t>HORAS EXTRAS</t>
        </is>
      </c>
      <c r="I7" s="33" t="inlineStr">
        <is>
          <t>17 horas extras noturnas — parcela de hora extra (50%).</t>
        </is>
      </c>
    </row>
    <row r="8">
      <c r="A8" s="15" t="inlineStr">
        <is>
          <t>NATI</t>
        </is>
      </c>
      <c r="B8" s="30" t="inlineStr">
        <is>
          <t>Adicional noturno</t>
        </is>
      </c>
      <c r="C8" s="9" t="n">
        <v>17</v>
      </c>
      <c r="D8" s="14" t="inlineStr">
        <is>
          <t>horas</t>
        </is>
      </c>
      <c r="E8" s="34">
        <f>IFERROR(INDEX('HOLERITE AGO.26'!$B$6:$I$6,1,MATCH(A8,'HOLERITE AGO.26'!$B$4:$I$4,0)),0)</f>
        <v/>
      </c>
      <c r="F8" s="35">
        <f>ROUND(E8/PARÂMETROS!$B$20*PARÂMETROS!$B$22,4)</f>
        <v/>
      </c>
      <c r="G8" s="20">
        <f>ROUND(C8*F8,2)</f>
        <v/>
      </c>
      <c r="H8" s="53" t="inlineStr">
        <is>
          <t>ADICIONAL NOTURNO</t>
        </is>
      </c>
      <c r="I8" s="33" t="inlineStr">
        <is>
          <t>17 horas extras noturnas — parcela do adicional noturno (20%).</t>
        </is>
      </c>
    </row>
    <row r="9">
      <c r="A9" s="15" t="inlineStr">
        <is>
          <t>NATI</t>
        </is>
      </c>
      <c r="B9" s="30" t="inlineStr">
        <is>
          <t>Feriado trabalhado (dobra)</t>
        </is>
      </c>
      <c r="C9" s="9" t="n">
        <v>1</v>
      </c>
      <c r="D9" s="14" t="inlineStr">
        <is>
          <t>dias</t>
        </is>
      </c>
      <c r="E9" s="34">
        <f>IFERROR(INDEX('HOLERITE AGO.26'!$B$6:$I$6,1,MATCH(A9,'HOLERITE AGO.26'!$B$4:$I$4,0)),0)</f>
        <v/>
      </c>
      <c r="F9" s="35">
        <f>ROUND(E9/PARÂMETROS!$B$23,2)</f>
        <v/>
      </c>
      <c r="G9" s="20">
        <f>ROUND(C9*F9,2)</f>
        <v/>
      </c>
      <c r="H9" s="53" t="inlineStr">
        <is>
          <t>HORAS EXTRAS</t>
        </is>
      </c>
      <c r="I9" s="33" t="inlineStr">
        <is>
          <t>Feriado de 15/08/2026 trabalhado, sem folga compensatória — pago em dobro (1 dia a mais).</t>
        </is>
      </c>
    </row>
    <row r="10">
      <c r="A10" s="15" t="inlineStr">
        <is>
          <t>CAMILA</t>
        </is>
      </c>
      <c r="B10" s="30" t="inlineStr">
        <is>
          <t>Feriado trabalhado (dobra)</t>
        </is>
      </c>
      <c r="C10" s="9" t="n">
        <v>1</v>
      </c>
      <c r="D10" s="14" t="inlineStr">
        <is>
          <t>dias</t>
        </is>
      </c>
      <c r="E10" s="34">
        <f>IFERROR(INDEX('HOLERITE AGO.26'!$B$6:$I$6,1,MATCH(A10,'HOLERITE AGO.26'!$B$4:$I$4,0)),0)</f>
        <v/>
      </c>
      <c r="F10" s="35">
        <f>ROUND(E10/PARÂMETROS!$B$23,2)</f>
        <v/>
      </c>
      <c r="G10" s="20">
        <f>ROUND(C10*F10,2)</f>
        <v/>
      </c>
      <c r="H10" s="53" t="inlineStr">
        <is>
          <t>HORAS EXTRAS</t>
        </is>
      </c>
      <c r="I10" s="33" t="inlineStr">
        <is>
          <t>Dia 15/08/2026 (feriado) trabalhado.</t>
        </is>
      </c>
    </row>
    <row r="11">
      <c r="A11" s="15" t="inlineStr">
        <is>
          <t>SARA</t>
        </is>
      </c>
      <c r="B11" s="30" t="inlineStr">
        <is>
          <t>Feriado trabalhado (dobra)</t>
        </is>
      </c>
      <c r="C11" s="9" t="n">
        <v>1</v>
      </c>
      <c r="D11" s="14" t="inlineStr">
        <is>
          <t>dias</t>
        </is>
      </c>
      <c r="E11" s="34">
        <f>IFERROR(INDEX('HOLERITE AGO.26'!$B$6:$I$6,1,MATCH(A11,'HOLERITE AGO.26'!$B$4:$I$4,0)),0)</f>
        <v/>
      </c>
      <c r="F11" s="35">
        <f>ROUND(E11/PARÂMETROS!$B$23,2)</f>
        <v/>
      </c>
      <c r="G11" s="20">
        <f>ROUND(C11*F11,2)</f>
        <v/>
      </c>
      <c r="H11" s="53" t="inlineStr">
        <is>
          <t>HORAS EXTRAS</t>
        </is>
      </c>
      <c r="I11" s="33" t="inlineStr">
        <is>
          <t>Dia 15/08/2026 (feriado) trabalhado.</t>
        </is>
      </c>
    </row>
    <row r="12">
      <c r="A12" s="15" t="inlineStr">
        <is>
          <t>VALÉRIA</t>
        </is>
      </c>
      <c r="B12" s="30" t="inlineStr">
        <is>
          <t>Feriado trabalhado (dobra)</t>
        </is>
      </c>
      <c r="C12" s="9" t="n">
        <v>1</v>
      </c>
      <c r="D12" s="14" t="inlineStr">
        <is>
          <t>dias</t>
        </is>
      </c>
      <c r="E12" s="34">
        <f>IFERROR(INDEX('HOLERITE AGO.26'!$B$6:$I$6,1,MATCH(A12,'HOLERITE AGO.26'!$B$4:$I$4,0)),0)</f>
        <v/>
      </c>
      <c r="F12" s="35">
        <f>ROUND(E12/PARÂMETROS!$B$23,2)</f>
        <v/>
      </c>
      <c r="G12" s="20">
        <f>ROUND(C12*F12,2)</f>
        <v/>
      </c>
      <c r="H12" s="53" t="inlineStr">
        <is>
          <t>HORAS EXTRAS</t>
        </is>
      </c>
      <c r="I12" s="33" t="inlineStr">
        <is>
          <t>Dia 15/08/2026 (feriado) trabalhado.</t>
        </is>
      </c>
    </row>
    <row r="13">
      <c r="A13" s="15" t="inlineStr">
        <is>
          <t>VALÉRIA</t>
        </is>
      </c>
      <c r="B13" s="30" t="inlineStr">
        <is>
          <t>Adicional noturno</t>
        </is>
      </c>
      <c r="C13" s="9" t="n">
        <v>16</v>
      </c>
      <c r="D13" s="14" t="inlineStr">
        <is>
          <t>horas</t>
        </is>
      </c>
      <c r="E13" s="34">
        <f>IFERROR(INDEX('HOLERITE AGO.26'!$B$6:$I$6,1,MATCH(A13,'HOLERITE AGO.26'!$B$4:$I$4,0)),0)</f>
        <v/>
      </c>
      <c r="F13" s="35">
        <f>ROUND(E13/PARÂMETROS!$B$20*PARÂMETROS!$B$22,4)</f>
        <v/>
      </c>
      <c r="G13" s="20">
        <f>ROUND(C13*F13,2)</f>
        <v/>
      </c>
      <c r="H13" s="53" t="inlineStr">
        <is>
          <t>ADICIONAL NOTURNO</t>
        </is>
      </c>
      <c r="I13" s="33" t="inlineStr">
        <is>
          <t>2 madrugadas de jornada normal de 8 horas com intervalo (2 × 8 = 16 h), com folga normal no dia seguinte — cabe só o adicional noturno.</t>
        </is>
      </c>
    </row>
    <row r="14">
      <c r="A14" s="15" t="inlineStr">
        <is>
          <t>AGNOR</t>
        </is>
      </c>
      <c r="B14" s="30" t="inlineStr">
        <is>
          <t>Adicional noturno</t>
        </is>
      </c>
      <c r="C14" s="9" t="n">
        <v>24</v>
      </c>
      <c r="D14" s="14" t="inlineStr">
        <is>
          <t>horas</t>
        </is>
      </c>
      <c r="E14" s="34">
        <f>IFERROR(INDEX('HOLERITE AGO.26'!$B$6:$I$6,1,MATCH(A14,'HOLERITE AGO.26'!$B$4:$I$4,0)),0)</f>
        <v/>
      </c>
      <c r="F14" s="35">
        <f>ROUND(E14/PARÂMETROS!$B$20*PARÂMETROS!$B$22,4)</f>
        <v/>
      </c>
      <c r="G14" s="20">
        <f>ROUND(C14*F14,2)</f>
        <v/>
      </c>
      <c r="H14" s="53" t="inlineStr">
        <is>
          <t>ADICIONAL NOTURNO</t>
        </is>
      </c>
      <c r="I14" s="33" t="inlineStr">
        <is>
          <t>3 madrugadas de jornada normal de 8 horas com intervalo (3 × 8 = 24 h), com folga normal — cabe só o adicional noturno.</t>
        </is>
      </c>
    </row>
    <row r="15">
      <c r="A15" s="15" t="inlineStr">
        <is>
          <t>DEAN</t>
        </is>
      </c>
      <c r="B15" s="30" t="inlineStr">
        <is>
          <t>Feriado com folga compensatória</t>
        </is>
      </c>
      <c r="C15" s="9" t="n">
        <v>1</v>
      </c>
      <c r="D15" s="14" t="inlineStr">
        <is>
          <t>dias</t>
        </is>
      </c>
      <c r="E15" s="34">
        <f>IFERROR(INDEX('HOLERITE AGO.26'!$B$6:$I$6,1,MATCH(A15,'HOLERITE AGO.26'!$B$4:$I$4,0)),0)</f>
        <v/>
      </c>
      <c r="F15" s="35" t="n">
        <v>0</v>
      </c>
      <c r="G15" s="20">
        <f>ROUND(C15*F15,2)</f>
        <v/>
      </c>
      <c r="H15" s="53" t="inlineStr">
        <is>
          <t>—</t>
        </is>
      </c>
      <c r="I15" s="33" t="inlineStr">
        <is>
          <t>Dia 15/08/2026 trabalhado, com folga compensatória — nada a pagar, registro apenas.</t>
        </is>
      </c>
    </row>
    <row r="16">
      <c r="A16" s="54" t="n"/>
      <c r="B16" s="54" t="n"/>
      <c r="C16" s="54" t="n"/>
      <c r="D16" s="54" t="n"/>
      <c r="E16" s="34">
        <f>IFERROR(INDEX('HOLERITE AGO.26'!$B$6:$I$6,1,MATCH(A16,'HOLERITE AGO.26'!$B$4:$I$4,0)),0)</f>
        <v/>
      </c>
      <c r="F16" s="36" t="n"/>
      <c r="G16" s="20">
        <f>ROUND(C16*F16,2)</f>
        <v/>
      </c>
      <c r="H16" s="54" t="n"/>
      <c r="I16" s="54" t="n"/>
    </row>
    <row r="17">
      <c r="A17" s="54" t="n"/>
      <c r="B17" s="54" t="n"/>
      <c r="C17" s="54" t="n"/>
      <c r="D17" s="54" t="n"/>
      <c r="E17" s="34">
        <f>IFERROR(INDEX('HOLERITE AGO.26'!$B$6:$I$6,1,MATCH(A17,'HOLERITE AGO.26'!$B$4:$I$4,0)),0)</f>
        <v/>
      </c>
      <c r="F17" s="36" t="n"/>
      <c r="G17" s="20">
        <f>ROUND(C17*F17,2)</f>
        <v/>
      </c>
      <c r="H17" s="54" t="n"/>
      <c r="I17" s="54" t="n"/>
    </row>
    <row r="18">
      <c r="A18" s="54" t="n"/>
      <c r="B18" s="54" t="n"/>
      <c r="C18" s="54" t="n"/>
      <c r="D18" s="54" t="n"/>
      <c r="E18" s="34">
        <f>IFERROR(INDEX('HOLERITE AGO.26'!$B$6:$I$6,1,MATCH(A18,'HOLERITE AGO.26'!$B$4:$I$4,0)),0)</f>
        <v/>
      </c>
      <c r="F18" s="36" t="n"/>
      <c r="G18" s="20">
        <f>ROUND(C18*F18,2)</f>
        <v/>
      </c>
      <c r="H18" s="54" t="n"/>
      <c r="I18" s="54" t="n"/>
    </row>
    <row r="19">
      <c r="A19" s="54" t="n"/>
      <c r="B19" s="54" t="n"/>
      <c r="C19" s="54" t="n"/>
      <c r="D19" s="54" t="n"/>
      <c r="E19" s="34">
        <f>IFERROR(INDEX('HOLERITE AGO.26'!$B$6:$I$6,1,MATCH(A19,'HOLERITE AGO.26'!$B$4:$I$4,0)),0)</f>
        <v/>
      </c>
      <c r="F19" s="36" t="n"/>
      <c r="G19" s="20">
        <f>ROUND(C19*F19,2)</f>
        <v/>
      </c>
      <c r="H19" s="54" t="n"/>
      <c r="I19" s="54" t="n"/>
    </row>
    <row r="20">
      <c r="A20" s="54" t="n"/>
      <c r="B20" s="54" t="n"/>
      <c r="C20" s="54" t="n"/>
      <c r="D20" s="54" t="n"/>
      <c r="E20" s="34">
        <f>IFERROR(INDEX('HOLERITE AGO.26'!$B$6:$I$6,1,MATCH(A20,'HOLERITE AGO.26'!$B$4:$I$4,0)),0)</f>
        <v/>
      </c>
      <c r="F20" s="36" t="n"/>
      <c r="G20" s="20">
        <f>ROUND(C20*F20,2)</f>
        <v/>
      </c>
      <c r="H20" s="54" t="n"/>
      <c r="I20" s="54" t="n"/>
    </row>
    <row r="21">
      <c r="A21" s="54" t="n"/>
      <c r="B21" s="54" t="n"/>
      <c r="C21" s="54" t="n"/>
      <c r="D21" s="54" t="n"/>
      <c r="E21" s="34">
        <f>IFERROR(INDEX('HOLERITE AGO.26'!$B$6:$I$6,1,MATCH(A21,'HOLERITE AGO.26'!$B$4:$I$4,0)),0)</f>
        <v/>
      </c>
      <c r="F21" s="36" t="n"/>
      <c r="G21" s="20">
        <f>ROUND(C21*F21,2)</f>
        <v/>
      </c>
      <c r="H21" s="54" t="n"/>
      <c r="I21" s="54" t="n"/>
    </row>
    <row r="22">
      <c r="A22" s="18" t="n"/>
      <c r="B22" s="19" t="inlineStr">
        <is>
          <t>TOTAL</t>
        </is>
      </c>
      <c r="C22" s="18" t="n"/>
      <c r="D22" s="18" t="n"/>
      <c r="E22" s="18" t="n"/>
      <c r="F22" s="18" t="n"/>
      <c r="G22" s="20">
        <f>SUM(G5:G21)</f>
        <v/>
      </c>
      <c r="H22" s="18" t="n"/>
      <c r="I22" s="18" t="n"/>
    </row>
    <row r="24" ht="24" customHeight="1">
      <c r="A24" s="10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25" ht="24" customHeight="1">
      <c r="A25" s="10" t="inlineStr">
        <is>
          <t>Confira: 40 horas extras dão R$ 442,09 e 24 horas dão R$ 265,25 no salário de R$ 1.621,00 — é a mesma conta usada na planilha de julho.</t>
        </is>
      </c>
    </row>
    <row r="26" ht="24" customHeight="1">
      <c r="A26" s="10" t="inlineStr">
        <is>
          <t>As linhas em branco no fim da tabela são para acrescentar outras ocorrências: preencha funcionário, ocorrência, quantidade, valor unitário e a rubrica de destino (HORAS EXTRAS ou ADICIONAL NOTURNO).</t>
        </is>
      </c>
    </row>
    <row r="27" ht="24" customHeight="1">
      <c r="A27" s="10" t="inlineStr">
        <is>
          <t>Os totais desta aba entram sozinhos nas linhas HORAS EXTRAS e ADICIONAL NOTURNO da aba HOLERITE AGO.26 — não digite nada por cima lá.</t>
        </is>
      </c>
    </row>
  </sheetData>
  <autoFilter ref="A4:I21"/>
  <mergeCells count="6">
    <mergeCell ref="A25:I25"/>
    <mergeCell ref="A2:I2"/>
    <mergeCell ref="A1:I1"/>
    <mergeCell ref="A27:I27"/>
    <mergeCell ref="A26:I26"/>
    <mergeCell ref="A24:I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2026-09-03T16:12:54Z</dcterms:created>
  <dcterms:modified xsi:type="dcterms:W3CDTF">2026-09-03T16:12:54Z</dcterms:modified>
</cp:coreProperties>
</file>