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AGO.26'!$A$4:$I$37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GENECIR: as férias vão até 30/08 e o mês tem 31 dias — confirmar se o dia 31/08 foi trabalhado e lançar o salário desse dia (R$ 1.621,00 ÷ 30 = R$ 54,03).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 na aba FOLGUISTAS.</t>
        </is>
      </c>
    </row>
    <row r="34" ht="17" customHeight="1">
      <c r="A34" s="4" t="inlineStr">
        <is>
          <t>•</t>
        </is>
      </c>
      <c r="B34" s="6" t="inlineStr">
        <is>
          <t>Confirmar se os folguistas recebem a comissão apurada no código deles (SERGIO R$ 128,80 e ANA CELIA R$ 83,56) além da diária.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(CENTRO 05JULHO)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agosto.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agosto.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/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jul/26. 6% sobre R$ 1.621,00 seria R$ 97,26 — CONFERIR a base usada. Quem passou o mês em férias fica sem desconto.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set/26)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GENECIR: férias de 01 a 30/08/2026, pagas em recibo próprio — informar o valor.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julho/2026 — CONFERIR se continua válido em agosto.</t>
        </is>
      </c>
    </row>
    <row r="42">
      <c r="A42" s="21" t="inlineStr">
        <is>
          <t>Texto verde</t>
        </is>
      </c>
      <c r="B42" s="22" t="inlineStr">
        <is>
          <t>valor puxado da aba BASE INOVAFARMA AGO.26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38">
        <f>B16+B24</f>
        <v/>
      </c>
      <c r="C26" s="38">
        <f>C16+C24</f>
        <v/>
      </c>
      <c r="D26" s="38">
        <f>D16+D24</f>
        <v/>
      </c>
      <c r="E26" s="38">
        <f>E16+E24</f>
        <v/>
      </c>
      <c r="F26" s="38">
        <f>F16+F24</f>
        <v/>
      </c>
      <c r="G26" s="38">
        <f>G16+G24</f>
        <v/>
      </c>
      <c r="H26" s="38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AGO.26'!B17</f>
        <v/>
      </c>
      <c r="E14" s="41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AGO.26'!B18</f>
        <v/>
      </c>
      <c r="E15" s="41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AGO.26'!B19</f>
        <v/>
      </c>
      <c r="E16" s="41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AGO.26'!B20</f>
        <v/>
      </c>
      <c r="E17" s="41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AGO.26'!B24</f>
        <v/>
      </c>
      <c r="E20" s="41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AGO.26'!B25</f>
        <v/>
      </c>
      <c r="E21" s="41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AGO.26'!B26</f>
        <v/>
      </c>
      <c r="E22" s="41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AGO.26'!B27</f>
        <v/>
      </c>
      <c r="E23" s="41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AGO.26'!B28</f>
        <v/>
      </c>
      <c r="E24" s="41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AGO.26'!B29</f>
        <v/>
      </c>
      <c r="E25" s="41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1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1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1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1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1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AGO.26'!C13</f>
        <v/>
      </c>
      <c r="E35" s="41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AGO.26'!C14</f>
        <v/>
      </c>
      <c r="E36" s="41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AGO.26'!C15</f>
        <v/>
      </c>
      <c r="E37" s="41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AGO.26'!C16</f>
        <v/>
      </c>
      <c r="E38" s="41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AGO.26'!C17</f>
        <v/>
      </c>
      <c r="E39" s="41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AGO.26'!C18</f>
        <v/>
      </c>
      <c r="E40" s="41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AGO.26'!C19</f>
        <v/>
      </c>
      <c r="E41" s="41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AGO.26'!C20</f>
        <v/>
      </c>
      <c r="E42" s="41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AGO.26'!C24</f>
        <v/>
      </c>
      <c r="E45" s="41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AGO.26'!C25</f>
        <v/>
      </c>
      <c r="E46" s="41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AGO.26'!C26</f>
        <v/>
      </c>
      <c r="E47" s="41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AGO.26'!C27</f>
        <v/>
      </c>
      <c r="E48" s="41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AGO.26'!C28</f>
        <v/>
      </c>
      <c r="E49" s="41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AGO.26'!C29</f>
        <v/>
      </c>
      <c r="E50" s="41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1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1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1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1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1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AGO.26'!D13</f>
        <v/>
      </c>
      <c r="E60" s="41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AGO.26'!D14</f>
        <v/>
      </c>
      <c r="E61" s="41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AGO.26'!D15</f>
        <v/>
      </c>
      <c r="E62" s="41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AGO.26'!D16</f>
        <v/>
      </c>
      <c r="E63" s="41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AGO.26'!D17</f>
        <v/>
      </c>
      <c r="E64" s="41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AGO.26'!D18</f>
        <v/>
      </c>
      <c r="E65" s="41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AGO.26'!D19</f>
        <v/>
      </c>
      <c r="E66" s="41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AGO.26'!D20</f>
        <v/>
      </c>
      <c r="E67" s="41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AGO.26'!D24</f>
        <v/>
      </c>
      <c r="E70" s="41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AGO.26'!D25</f>
        <v/>
      </c>
      <c r="E71" s="41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AGO.26'!D26</f>
        <v/>
      </c>
      <c r="E72" s="41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AGO.26'!D27</f>
        <v/>
      </c>
      <c r="E73" s="41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AGO.26'!D28</f>
        <v/>
      </c>
      <c r="E74" s="41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AGO.26'!D29</f>
        <v/>
      </c>
      <c r="E75" s="41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1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1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1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1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1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AGO.26'!E13</f>
        <v/>
      </c>
      <c r="E85" s="41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AGO.26'!E14</f>
        <v/>
      </c>
      <c r="E86" s="41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AGO.26'!E15</f>
        <v/>
      </c>
      <c r="E87" s="41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AGO.26'!E16</f>
        <v/>
      </c>
      <c r="E88" s="41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AGO.26'!E17</f>
        <v/>
      </c>
      <c r="E89" s="41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AGO.26'!E18</f>
        <v/>
      </c>
      <c r="E90" s="41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AGO.26'!E19</f>
        <v/>
      </c>
      <c r="E91" s="41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AGO.26'!E20</f>
        <v/>
      </c>
      <c r="E92" s="41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AGO.26'!E24</f>
        <v/>
      </c>
      <c r="E95" s="41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AGO.26'!E25</f>
        <v/>
      </c>
      <c r="E96" s="41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AGO.26'!E26</f>
        <v/>
      </c>
      <c r="E97" s="41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AGO.26'!E27</f>
        <v/>
      </c>
      <c r="E98" s="41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AGO.26'!E28</f>
        <v/>
      </c>
      <c r="E99" s="41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AGO.26'!E29</f>
        <v/>
      </c>
      <c r="E100" s="41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1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1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1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1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1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AGO.26'!F13</f>
        <v/>
      </c>
      <c r="E110" s="41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AGO.26'!F14</f>
        <v/>
      </c>
      <c r="E111" s="41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AGO.26'!F15</f>
        <v/>
      </c>
      <c r="E112" s="41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AGO.26'!F16</f>
        <v/>
      </c>
      <c r="E113" s="41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AGO.26'!F17</f>
        <v/>
      </c>
      <c r="E114" s="41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AGO.26'!F18</f>
        <v/>
      </c>
      <c r="E115" s="41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AGO.26'!F19</f>
        <v/>
      </c>
      <c r="E116" s="41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AGO.26'!F20</f>
        <v/>
      </c>
      <c r="E117" s="41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AGO.26'!F24</f>
        <v/>
      </c>
      <c r="E120" s="41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AGO.26'!F25</f>
        <v/>
      </c>
      <c r="E121" s="41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AGO.26'!F26</f>
        <v/>
      </c>
      <c r="E122" s="41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AGO.26'!F27</f>
        <v/>
      </c>
      <c r="E123" s="41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AGO.26'!F28</f>
        <v/>
      </c>
      <c r="E124" s="41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AGO.26'!F29</f>
        <v/>
      </c>
      <c r="E125" s="41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1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1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1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1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1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AGO.26'!G13</f>
        <v/>
      </c>
      <c r="E135" s="41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AGO.26'!G14</f>
        <v/>
      </c>
      <c r="E136" s="41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AGO.26'!G15</f>
        <v/>
      </c>
      <c r="E137" s="41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AGO.26'!G16</f>
        <v/>
      </c>
      <c r="E138" s="41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AGO.26'!G17</f>
        <v/>
      </c>
      <c r="E139" s="41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AGO.26'!G18</f>
        <v/>
      </c>
      <c r="E140" s="41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AGO.26'!G19</f>
        <v/>
      </c>
      <c r="E141" s="41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AGO.26'!G20</f>
        <v/>
      </c>
      <c r="E142" s="41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AGO.26'!G24</f>
        <v/>
      </c>
      <c r="E145" s="41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AGO.26'!G25</f>
        <v/>
      </c>
      <c r="E146" s="41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AGO.26'!G26</f>
        <v/>
      </c>
      <c r="E147" s="41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AGO.26'!G27</f>
        <v/>
      </c>
      <c r="E148" s="41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AGO.26'!G28</f>
        <v/>
      </c>
      <c r="E149" s="41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AGO.26'!G29</f>
        <v/>
      </c>
      <c r="E150" s="41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AGO.26'!$B$13:$G$13,1,MATCH($C$4,'HOLERITE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AGO.26'!$B$14:$G$14,1,MATCH($C$4,'HOLERITE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AGO.26'!$B$15:$G$15,1,MATCH($C$4,'HOLERITE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AGO.26'!$B$16:$G$16,1,MATCH($C$4,'HOLERITE AGO.26'!$B$4:$G$4,0)),0)</f>
        <v/>
      </c>
    </row>
    <row r="16">
      <c r="B16" s="30" t="inlineStr">
        <is>
          <t>Férias</t>
        </is>
      </c>
      <c r="C16" s="34">
        <f>IFERROR(INDEX('HOLERITE AGO.26'!$B$17:$G$17,1,MATCH($C$4,'HOLERITE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AGO.26'!$B$18:$G$18,1,MATCH($C$4,'HOLERITE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AGO.26'!$B$19:$G$19,1,MATCH($C$4,'HOLERITE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AGO.26'!$B$20:$G$20,1,MATCH($C$4,'HOLERITE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AGO.26'!$B$24:$G$24,1,MATCH($C$4,'HOLERITE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AGO.26'!$B$25:$G$25,1,MATCH($C$4,'HOLERITE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AGO.26'!$B$26:$G$26,1,MATCH($C$4,'HOLERITE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AGO.26'!$B$27:$G$27,1,MATCH($C$4,'HOLERITE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AGO.26'!$B$28:$G$28,1,MATCH($C$4,'HOLERITE AGO.26'!$B$4:$G$4,0)),0)</f>
        <v/>
      </c>
    </row>
    <row r="28">
      <c r="B28" s="30" t="inlineStr">
        <is>
          <t>INSS</t>
        </is>
      </c>
      <c r="C28" s="34">
        <f>IFERROR(INDEX('HOLERITE AGO.26'!$B$29:$G$29,1,MATCH($C$4,'HOLERITE AGO.26'!$B$4:$G$4,0)),0)</f>
        <v/>
      </c>
    </row>
    <row r="29">
      <c r="B29" s="30" t="inlineStr">
        <is>
          <t>IRRF</t>
        </is>
      </c>
      <c r="C29" s="34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3" t="n"/>
      <c r="B5" s="53" t="n"/>
      <c r="C5" s="53" t="n"/>
      <c r="D5" s="53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3" t="n"/>
      <c r="I5" s="53" t="n"/>
    </row>
    <row r="6">
      <c r="A6" s="53" t="n"/>
      <c r="B6" s="53" t="n"/>
      <c r="C6" s="53" t="n"/>
      <c r="D6" s="53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3" t="n"/>
      <c r="I6" s="53" t="n"/>
    </row>
    <row r="7">
      <c r="A7" s="53" t="n"/>
      <c r="B7" s="53" t="n"/>
      <c r="C7" s="53" t="n"/>
      <c r="D7" s="53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3" t="n"/>
      <c r="I7" s="53" t="n"/>
    </row>
    <row r="8">
      <c r="A8" s="53" t="n"/>
      <c r="B8" s="53" t="n"/>
      <c r="C8" s="53" t="n"/>
      <c r="D8" s="53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3" t="n"/>
      <c r="I8" s="53" t="n"/>
    </row>
    <row r="9">
      <c r="A9" s="53" t="n"/>
      <c r="B9" s="53" t="n"/>
      <c r="C9" s="53" t="n"/>
      <c r="D9" s="53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3" t="n"/>
      <c r="I9" s="53" t="n"/>
    </row>
    <row r="10">
      <c r="A10" s="53" t="n"/>
      <c r="B10" s="53" t="n"/>
      <c r="C10" s="53" t="n"/>
      <c r="D10" s="53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3" t="n"/>
      <c r="I10" s="53" t="n"/>
    </row>
    <row r="11">
      <c r="A11" s="53" t="n"/>
      <c r="B11" s="53" t="n"/>
      <c r="C11" s="53" t="n"/>
      <c r="D11" s="53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3" t="n"/>
      <c r="I11" s="53" t="n"/>
    </row>
    <row r="12">
      <c r="A12" s="53" t="n"/>
      <c r="B12" s="53" t="n"/>
      <c r="C12" s="53" t="n"/>
      <c r="D12" s="53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3" t="n"/>
      <c r="I12" s="53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4">
        <f>C5*D5</f>
        <v/>
      </c>
      <c r="F5" s="35" t="n">
        <v>128.8</v>
      </c>
      <c r="G5" s="35" t="n">
        <v>40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4">
        <f>C6*D6</f>
        <v/>
      </c>
      <c r="F6" s="35" t="n">
        <v>83.56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2026-09-03T16:27:48Z</dcterms:created>
  <dcterms:modified xsi:type="dcterms:W3CDTF">2026-09-03T16:27:48Z</dcterms:modified>
</cp:coreProperties>
</file>