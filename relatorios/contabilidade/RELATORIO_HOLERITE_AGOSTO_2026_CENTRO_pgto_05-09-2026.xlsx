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  <sheet name="FOLGUISTAS" sheetId="9" state="visible" r:id="rId9"/>
  </sheets>
  <definedNames>
    <definedName name="_xlnm._FilterDatabase" localSheetId="2" hidden="1">'BASE INOVAFARMA AGO.26'!$A$4:$J$10</definedName>
    <definedName name="_xlnm._FilterDatabase" localSheetId="3" hidden="1">'HOLERITE AGO.26'!$A$4:$I$36</definedName>
    <definedName name="_xlnm._FilterDatabase" localSheetId="4" hidden="1">'JULHO.26 REVISADO'!$A$4:$I$28</definedName>
    <definedName name="_xlnm._FilterDatabase" localSheetId="5" hidden="1">'LISTA CONTABILIDADE'!$A$4:$E$153</definedName>
    <definedName name="_xlnm.Print_Area" localSheetId="6">'GANHOS DO COLABORADOR'!$A$1:$D$44</definedName>
    <definedName name="_xlnm._FilterDatabase" localSheetId="7" hidden="1">'PONTO AGO.26'!$A$4:$I$12</definedName>
    <definedName name="_xlnm._FilterDatabase" localSheetId="8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5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R$ 154.540,14 · descontos concedidos: R$ 52.653,74 · venda líquida: R$ 101.886,40</t>
        </is>
      </c>
    </row>
    <row r="19" ht="17" customHeight="1">
      <c r="A19" s="4" t="inlineStr"/>
      <c r="B19" s="5" t="inlineStr">
        <is>
          <t>Comissão apurada no InovaFarma: R$ 2.934,17 · incentivos: R$ 527,00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 — a rubrica fica zerada e o apurado deles aparece só na aba BASE.</t>
        </is>
      </c>
    </row>
    <row r="23" ht="17" customHeight="1">
      <c r="A23" s="4" t="inlineStr"/>
      <c r="B23" s="5" t="inlineStr">
        <is>
          <t>GENECIR: férias de 01 a 30/08/2026, já pagas em recibo próprio — salário zerado neste holerite; confirmar o dia 31/08.</t>
        </is>
      </c>
    </row>
    <row r="24" ht="17" customHeight="1">
      <c r="A24" s="4" t="inlineStr"/>
      <c r="B24" s="5" t="inlineStr">
        <is>
          <t>SERGIO e ANA CELIA são folguistas (diária de R$ 150,00 e R$ 100,00) — ficam na aba FOLGUISTAS, para o contas a pagar, fora do holerite.</t>
        </is>
      </c>
    </row>
    <row r="25" ht="17" customHeight="1">
      <c r="A25" s="4" t="inlineStr"/>
      <c r="B25" s="5" t="inlineStr">
        <is>
          <t>GILSON, UILLIAN e FABIANA não recebem comissão pela loja Centro.</t>
        </is>
      </c>
    </row>
    <row r="26" ht="17" customHeight="1">
      <c r="A26" s="4" t="inlineStr"/>
      <c r="B26" s="5" t="inlineStr">
        <is>
          <t>SARA: o saldo dela na loja Centro foi somado à folha do Arraial.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agosto — lançar na aba PONTO AGO.26.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GENECIR: as férias vão até 30/08 e o mês tem 31 dias — confirmar se o dia 31/08 foi trabalhado e lançar o salário desse dia (R$ 1.621,00 ÷ 30 = R$ 54,03).</t>
        </is>
      </c>
    </row>
    <row r="33" ht="17" customHeight="1">
      <c r="A33" s="4" t="inlineStr">
        <is>
          <t>•</t>
        </is>
      </c>
      <c r="B33" s="6" t="inlineStr">
        <is>
          <t>Preencher a quantidade de diárias de SERGIO e ANA CELIA na aba FOLGUISTAS.</t>
        </is>
      </c>
    </row>
    <row r="34" ht="17" customHeight="1">
      <c r="A34" s="4" t="inlineStr">
        <is>
          <t>•</t>
        </is>
      </c>
      <c r="B34" s="6" t="inlineStr">
        <is>
          <t>Confirmar se os folguistas recebem a comissão apurada no código deles (SERGIO R$ 128,80 e ANA CELIA R$ 83,56) além da diária.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AGO.26 — relatório principal da competência agosto/2026.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AGO.26 — apuração de comissões e incentivos por vendedor.</t>
        </is>
      </c>
    </row>
    <row r="42" ht="17" customHeight="1">
      <c r="A42" s="4" t="inlineStr"/>
      <c r="B42" s="5" t="inlineStr">
        <is>
          <t>JULHO.26 REVISADO — a folha de julho (CENTRO 05JULHO) reorganizada e conferida.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PONTO AGO.26 — horas extras, adicional noturno e feriado trabalhado; alimenta o holerite.</t>
        </is>
      </c>
    </row>
    <row r="45" ht="17" customHeight="1">
      <c r="A45" s="4" t="inlineStr"/>
      <c r="B45" s="5" t="inlineStr">
        <is>
          <t>FOLGUISTAS — diárias de SERGIO e ANA CELIA para o contas a pagar (fora do holerite).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CENTRO.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16556.2</v>
      </c>
      <c r="D5" s="16" t="n">
        <v>5188.17</v>
      </c>
      <c r="E5" s="16" t="n">
        <v>11368.03</v>
      </c>
      <c r="F5" s="16" t="n">
        <v>257.46</v>
      </c>
      <c r="G5" s="16" t="n">
        <v>120</v>
      </c>
      <c r="H5" s="16" t="n">
        <v>0</v>
      </c>
      <c r="I5" s="16" t="n">
        <v>5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60046.7</v>
      </c>
      <c r="D6" s="16" t="n">
        <v>20690.58</v>
      </c>
      <c r="E6" s="16" t="n">
        <v>39356.12</v>
      </c>
      <c r="F6" s="16" t="n">
        <v>1511.36</v>
      </c>
      <c r="G6" s="16" t="n">
        <v>170</v>
      </c>
      <c r="H6" s="16" t="n">
        <v>20</v>
      </c>
      <c r="I6" s="16" t="n">
        <v>35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188.86</v>
      </c>
      <c r="D7" s="16" t="n">
        <v>5.99</v>
      </c>
      <c r="E7" s="16" t="n">
        <v>182.87</v>
      </c>
      <c r="F7" s="16" t="n">
        <v>0.62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49529.57</v>
      </c>
      <c r="D8" s="16" t="n">
        <v>21504.43</v>
      </c>
      <c r="E8" s="16" t="n">
        <v>28025.14</v>
      </c>
      <c r="F8" s="16" t="n">
        <v>847.9400000000001</v>
      </c>
      <c r="G8" s="16" t="n">
        <v>80</v>
      </c>
      <c r="H8" s="16" t="n">
        <v>10</v>
      </c>
      <c r="I8" s="16" t="n">
        <v>6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6772.99</v>
      </c>
      <c r="D9" s="16" t="n">
        <v>199.94</v>
      </c>
      <c r="E9" s="16" t="n">
        <v>6573.05</v>
      </c>
      <c r="F9" s="16" t="n">
        <v>57.33</v>
      </c>
      <c r="G9" s="16" t="n">
        <v>0</v>
      </c>
      <c r="H9" s="16" t="n">
        <v>0</v>
      </c>
      <c r="I9" s="16" t="n">
        <v>10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1689.51</v>
      </c>
      <c r="D10" s="16" t="n">
        <v>310.63</v>
      </c>
      <c r="E10" s="16" t="n">
        <v>1378.88</v>
      </c>
      <c r="F10" s="16" t="n">
        <v>12.18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(loja Arraial) foi somado à folha dela no relatório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7066.28</v>
      </c>
      <c r="F14" s="25" t="n">
        <v>26.43</v>
      </c>
      <c r="J14" s="25" t="n">
        <v>31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2134.49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241.91</v>
      </c>
      <c r="F16" s="25" t="n">
        <v>5.83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365.03</v>
      </c>
      <c r="F17" s="25" t="n">
        <v>2.65</v>
      </c>
      <c r="J17" s="25" t="n">
        <v>0</v>
      </c>
    </row>
    <row r="19" ht="26" customHeight="1">
      <c r="A19" s="26" t="inlineStr">
        <is>
          <t>CONFERÊNCIA — total geral do relatório: venda bruta R$ 154.540,14 · descontos R$ 52.653,74 · venda líquida R$ 101.886,40 · comissão R$ 2.934,17 · incentivo R$ 527,00,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A comissão desta aba é a APURADA pelo sistema, sem multiplicador. O valor que vai para a folha está na aba HOLERITE AGO.26.</t>
        </is>
      </c>
    </row>
    <row r="22" ht="26" customHeight="1">
      <c r="A22" s="26" t="inlineStr">
        <is>
          <t>ARIANE não recebe comissão em folha: no caso dele(a) a comissão apurada acima é apenas informativa.</t>
        </is>
      </c>
    </row>
    <row r="23" ht="26" customHeight="1">
      <c r="A23" s="26" t="inlineStr">
        <is>
          <t>PEDRO não recebe comissão em folha: no caso dele(a) a comissão apurada acima é apenas informativa.</t>
        </is>
      </c>
    </row>
  </sheetData>
  <autoFilter ref="A4:J10"/>
  <mergeCells count="7">
    <mergeCell ref="A1:J1"/>
    <mergeCell ref="A23:J23"/>
    <mergeCell ref="A22:J22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AGOSTO/2026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0</v>
      </c>
      <c r="E6" s="31" t="n">
        <v>1621</v>
      </c>
      <c r="F6" s="31" t="n">
        <v>1621</v>
      </c>
      <c r="G6" s="31" t="n">
        <v>1621</v>
      </c>
      <c r="H6" s="32">
        <f>SUM(B6:G6)</f>
        <v/>
      </c>
      <c r="I6" s="33" t="inlineStr">
        <is>
          <t>Piso 2026 R$ 1.621,00; gerente conforme jul/2026. CONFERIR admissões, afastamentos e férias do mês. GENECIR: zerado — férias de 01 a 30/08/2026, pagas em recibo próprio.</t>
        </is>
      </c>
    </row>
    <row r="7">
      <c r="A7" s="30" t="inlineStr">
        <is>
          <t>ADICIONAL NOTURNO</t>
        </is>
      </c>
      <c r="B7" s="34">
        <f>SUMIFS('PONTO AGO.26'!$G$5:$G$12,'PONTO AGO.26'!$A$5:$A$12,B$4,'PONTO AGO.26'!$H$5:$H$12,"ADICIONAL NOTURNO")</f>
        <v/>
      </c>
      <c r="C7" s="34">
        <f>SUMIFS('PONTO AGO.26'!$G$5:$G$12,'PONTO AGO.26'!$A$5:$A$12,C$4,'PONTO AGO.26'!$H$5:$H$12,"ADICIONAL NOTURNO")</f>
        <v/>
      </c>
      <c r="D7" s="34">
        <f>SUMIFS('PONTO AGO.26'!$G$5:$G$12,'PONTO AGO.26'!$A$5:$A$12,D$4,'PONTO AGO.26'!$H$5:$H$12,"ADICIONAL NOTURNO")</f>
        <v/>
      </c>
      <c r="E7" s="34">
        <f>SUMIFS('PONTO AGO.26'!$G$5:$G$12,'PONTO AGO.26'!$A$5:$A$12,E$4,'PONTO AGO.26'!$H$5:$H$12,"ADICIONAL NOTURNO")</f>
        <v/>
      </c>
      <c r="F7" s="34">
        <f>SUMIFS('PONTO AGO.26'!$G$5:$G$12,'PONTO AGO.26'!$A$5:$A$12,F$4,'PONTO AGO.26'!$H$5:$H$12,"ADICIONAL NOTURNO")</f>
        <v/>
      </c>
      <c r="G7" s="34">
        <f>SUMIFS('PONTO AGO.26'!$G$5:$G$12,'PONTO AGO.26'!$A$5:$A$12,G$4,'PONTO AGO.26'!$H$5:$H$12,"ADICIONAL NOTURNO")</f>
        <v/>
      </c>
      <c r="H7" s="20">
        <f>SUM(B7:G7)</f>
        <v/>
      </c>
      <c r="I7" s="33" t="inlineStr">
        <is>
          <t>Somado automaticamente da aba PONTO AGO.26 (apontamento de agosto/2026). Para mudar, edite lá.</t>
        </is>
      </c>
    </row>
    <row r="8">
      <c r="A8" s="30" t="inlineStr">
        <is>
          <t>HORAS EXTRAS</t>
        </is>
      </c>
      <c r="B8" s="34">
        <f>SUMIFS('PONTO AGO.26'!$G$5:$G$12,'PONTO AGO.26'!$A$5:$A$12,B$4,'PONTO AGO.26'!$H$5:$H$12,"HORAS EXTRAS")</f>
        <v/>
      </c>
      <c r="C8" s="34">
        <f>SUMIFS('PONTO AGO.26'!$G$5:$G$12,'PONTO AGO.26'!$A$5:$A$12,C$4,'PONTO AGO.26'!$H$5:$H$12,"HORAS EXTRAS")</f>
        <v/>
      </c>
      <c r="D8" s="34">
        <f>SUMIFS('PONTO AGO.26'!$G$5:$G$12,'PONTO AGO.26'!$A$5:$A$12,D$4,'PONTO AGO.26'!$H$5:$H$12,"HORAS EXTRAS")</f>
        <v/>
      </c>
      <c r="E8" s="34">
        <f>SUMIFS('PONTO AGO.26'!$G$5:$G$12,'PONTO AGO.26'!$A$5:$A$12,E$4,'PONTO AGO.26'!$H$5:$H$12,"HORAS EXTRAS")</f>
        <v/>
      </c>
      <c r="F8" s="34">
        <f>SUMIFS('PONTO AGO.26'!$G$5:$G$12,'PONTO AGO.26'!$A$5:$A$12,F$4,'PONTO AGO.26'!$H$5:$H$12,"HORAS EXTRAS")</f>
        <v/>
      </c>
      <c r="G8" s="34">
        <f>SUMIFS('PONTO AGO.26'!$G$5:$G$12,'PONTO AGO.26'!$A$5:$A$12,G$4,'PONTO AGO.26'!$H$5:$H$12,"HORAS EXTRAS")</f>
        <v/>
      </c>
      <c r="H8" s="20">
        <f>SUM(B8:G8)</f>
        <v/>
      </c>
      <c r="I8" s="33" t="inlineStr">
        <is>
          <t>Somado automaticamente da aba PONTO AGO.26 (apontamento de agosto/2026).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ROUND('BASE INOVAFARMA AGO.26'!F6*PARÂMETROS!$B$20,2)</f>
        <v/>
      </c>
      <c r="D9" s="34">
        <f>ROUND('BASE INOVAFARMA AGO.26'!F7*PARÂMETROS!$B$20,2)</f>
        <v/>
      </c>
      <c r="E9" s="34">
        <f>ROUND('BASE INOVAFARMA AGO.26'!F8*PARÂMETROS!$B$20,2)</f>
        <v/>
      </c>
      <c r="F9" s="34">
        <f>ROUND('BASE INOVAFARMA AGO.26'!F9*PARÂMETROS!$B$20,2)</f>
        <v/>
      </c>
      <c r="G9" s="34" t="n">
        <v>0</v>
      </c>
      <c r="H9" s="20">
        <f>SUM(B9:G9)</f>
        <v/>
      </c>
      <c r="I9" s="33" t="inlineStr">
        <is>
          <t>Apurado no InovaFarma (aba BASE INOVAFARMA AGO.26). ARIANE e PEDRO não recebe(m) comissão — lançado zero.</t>
        </is>
      </c>
    </row>
    <row r="10">
      <c r="A10" s="30" t="inlineStr">
        <is>
          <t>COMPLEMENTO / COMISSÃO PDV</t>
        </is>
      </c>
      <c r="B10" s="35" t="n"/>
      <c r="C10" s="35" t="n"/>
      <c r="D10" s="35" t="n"/>
      <c r="E10" s="35" t="n"/>
      <c r="F10" s="35" t="n"/>
      <c r="G10" s="35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>
        <f> (comissão total + horas extras) × 5 domingos ÷ 26 dias úteis de agosto/2026.</f>
        <v/>
      </c>
    </row>
    <row r="13">
      <c r="A13" s="30" t="inlineStr">
        <is>
          <t>AUXÍLIO GERÊNCIA</t>
        </is>
      </c>
      <c r="B13" s="35" t="n"/>
      <c r="C13" s="35" t="n"/>
      <c r="D13" s="35" t="n"/>
      <c r="E13" s="35" t="n"/>
      <c r="F13" s="35" t="n"/>
      <c r="G13" s="35" t="n"/>
      <c r="H13" s="20">
        <f>SUM(B13:G13)</f>
        <v/>
      </c>
      <c r="I13" s="33" t="inlineStr">
        <is>
          <t>Conforme acordo da loja.</t>
        </is>
      </c>
    </row>
    <row r="14">
      <c r="A14" s="30" t="inlineStr">
        <is>
          <t>ADICIONAL PRÊMIO META CAIXA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>
        <is>
          <t>Conforme apuração do caixa.</t>
        </is>
      </c>
    </row>
    <row r="15">
      <c r="A15" s="30" t="inlineStr">
        <is>
          <t>PRÊMIO COTA GERAL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>
        <is>
          <t>PREENCHER conforme a tabela de metas da loja (aba METAS da planilha original).</t>
        </is>
      </c>
    </row>
    <row r="16">
      <c r="A16" s="30" t="inlineStr">
        <is>
          <t>PRÊMIO PRÉ-VENCIDOS</t>
        </is>
      </c>
      <c r="B16" s="35" t="n"/>
      <c r="C16" s="35" t="n"/>
      <c r="D16" s="35" t="n"/>
      <c r="E16" s="35" t="n"/>
      <c r="F16" s="35" t="n"/>
      <c r="G16" s="35" t="n"/>
      <c r="H16" s="20">
        <f>SUM(B16:G16)</f>
        <v/>
      </c>
      <c r="I16" s="33" t="inlineStr">
        <is>
          <t>PREENCHER conforme a apuração de pré-vencidos de agosto.</t>
        </is>
      </c>
    </row>
    <row r="17">
      <c r="A17" s="30" t="inlineStr">
        <is>
          <t>FÉRIAS (DIAS GOZADOS)</t>
        </is>
      </c>
      <c r="B17" s="35" t="n"/>
      <c r="C17" s="35" t="n"/>
      <c r="D17" s="35" t="n"/>
      <c r="E17" s="35" t="n"/>
      <c r="F17" s="35" t="n"/>
      <c r="G17" s="35" t="n"/>
      <c r="H17" s="20">
        <f>SUM(B17:G17)</f>
        <v/>
      </c>
      <c r="I17" s="33" t="inlineStr">
        <is>
          <t>PREENCHER se houve férias no mês; informar o período.</t>
        </is>
      </c>
    </row>
    <row r="18">
      <c r="A18" s="30" t="inlineStr">
        <is>
          <t>1/3 CONSTITUCIONAL DE FÉRIAS</t>
        </is>
      </c>
      <c r="B18" s="35" t="n"/>
      <c r="C18" s="35" t="n"/>
      <c r="D18" s="35" t="n"/>
      <c r="E18" s="35" t="n"/>
      <c r="F18" s="35" t="n"/>
      <c r="G18" s="35" t="n"/>
      <c r="H18" s="20">
        <f>SUM(B18:G18)</f>
        <v/>
      </c>
      <c r="I18" s="33" t="inlineStr">
        <is>
          <t>Calculado pela contabilidade sobre o valor das férias.</t>
        </is>
      </c>
    </row>
    <row r="19">
      <c r="A19" s="30" t="inlineStr">
        <is>
          <t>INCENTIVO APLICAÇÕES</t>
        </is>
      </c>
      <c r="B19" s="34">
        <f>'BASE INOVAFARMA AGO.26'!G5</f>
        <v/>
      </c>
      <c r="C19" s="34">
        <f>'BASE INOVAFARMA AGO.26'!G6</f>
        <v/>
      </c>
      <c r="D19" s="34">
        <f>'BASE INOVAFARMA AGO.26'!G7</f>
        <v/>
      </c>
      <c r="E19" s="34">
        <f>'BASE INOVAFARMA AGO.26'!G8</f>
        <v/>
      </c>
      <c r="F19" s="34">
        <f>'BASE INOVAFARMA AGO.26'!G9</f>
        <v/>
      </c>
      <c r="G19" s="34">
        <f>'BASE INOVAFARMA AGO.26'!G10</f>
        <v/>
      </c>
      <c r="H19" s="20">
        <f>SUM(B19:G19)</f>
        <v/>
      </c>
      <c r="I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4">
        <f>'BASE INOVAFARMA AGO.26'!H5</f>
        <v/>
      </c>
      <c r="C20" s="34">
        <f>'BASE INOVAFARMA AGO.26'!H6</f>
        <v/>
      </c>
      <c r="D20" s="34">
        <f>'BASE INOVAFARMA AGO.26'!H7</f>
        <v/>
      </c>
      <c r="E20" s="34">
        <f>'BASE INOVAFARMA AGO.26'!H8</f>
        <v/>
      </c>
      <c r="F20" s="34">
        <f>'BASE INOVAFARMA AGO.26'!H9</f>
        <v/>
      </c>
      <c r="G20" s="34">
        <f>'BASE INOVAFARMA AGO.26'!H10</f>
        <v/>
      </c>
      <c r="H20" s="20">
        <f>SUM(B20:G20)</f>
        <v/>
      </c>
      <c r="I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4">
        <f>'BASE INOVAFARMA AGO.26'!I5</f>
        <v/>
      </c>
      <c r="C21" s="34">
        <f>'BASE INOVAFARMA AGO.26'!I6</f>
        <v/>
      </c>
      <c r="D21" s="34">
        <f>'BASE INOVAFARMA AGO.26'!I7</f>
        <v/>
      </c>
      <c r="E21" s="34">
        <f>'BASE INOVAFARMA AGO.26'!I8</f>
        <v/>
      </c>
      <c r="F21" s="34">
        <f>'BASE INOVAFARMA AGO.26'!I9</f>
        <v/>
      </c>
      <c r="G21" s="34">
        <f>'BASE INOVAFARMA AGO.26'!I10</f>
        <v/>
      </c>
      <c r="H21" s="20">
        <f>SUM(B21:G21)</f>
        <v/>
      </c>
      <c r="I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SUM(B22:G22)</f>
        <v/>
      </c>
      <c r="I22" s="33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</row>
    <row r="24">
      <c r="A24" s="30" t="inlineStr">
        <is>
          <t>ADIANTAMENTO / VALES</t>
        </is>
      </c>
      <c r="B24" s="35" t="n"/>
      <c r="C24" s="35" t="n"/>
      <c r="D24" s="35" t="n"/>
      <c r="E24" s="35" t="n"/>
      <c r="F24" s="35" t="n"/>
      <c r="G24" s="35" t="n"/>
      <c r="H24" s="20">
        <f>SUM(B24:G24)</f>
        <v/>
      </c>
      <c r="I24" s="33" t="inlineStr">
        <is>
          <t>PREENCHER com os vales adiantados durante agosto.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2">
        <f>SUM(B25:G25)</f>
        <v/>
      </c>
      <c r="I25" s="33" t="inlineStr">
        <is>
          <t>Estorno dos incentivos já adiantados em dinheiro no mês. AJUSTAR se algum incentivo não foi adiantado.</t>
        </is>
      </c>
    </row>
    <row r="26">
      <c r="A26" s="30" t="inlineStr">
        <is>
          <t>CONVÊNIO</t>
        </is>
      </c>
      <c r="B26" s="35" t="n"/>
      <c r="C26" s="35" t="n"/>
      <c r="D26" s="35" t="n"/>
      <c r="E26" s="35" t="n"/>
      <c r="F26" s="35" t="n"/>
      <c r="G26" s="35" t="n"/>
      <c r="H26" s="20">
        <f>SUM(B26:G26)</f>
        <v/>
      </c>
      <c r="I26" s="33" t="inlineStr">
        <is>
          <t>PREENCHER conforme o convênio de agosto.</t>
        </is>
      </c>
    </row>
    <row r="27">
      <c r="A27" s="30" t="inlineStr">
        <is>
          <t>DESCONTO FALTAS / ATRASOS</t>
        </is>
      </c>
      <c r="B27" s="35" t="n"/>
      <c r="C27" s="35" t="n"/>
      <c r="D27" s="35" t="n"/>
      <c r="E27" s="35" t="n"/>
      <c r="F27" s="35" t="n"/>
      <c r="G27" s="35" t="n"/>
      <c r="H27" s="20">
        <f>SUM(B27:G27)</f>
        <v/>
      </c>
      <c r="I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>
        <v>-84.29000000000001</v>
      </c>
      <c r="D28" s="31" t="n">
        <v>-84.29000000000001</v>
      </c>
      <c r="E28" s="31" t="n">
        <v>-74.29000000000001</v>
      </c>
      <c r="F28" s="31" t="n">
        <v>-84.29000000000001</v>
      </c>
      <c r="G28" s="31" t="n"/>
      <c r="H28" s="32">
        <f>SUM(B28:G28)</f>
        <v/>
      </c>
      <c r="I28" s="33" t="inlineStr">
        <is>
          <t>Valores praticados em jul/26. 6% sobre R$ 1.621,00 seria R$ 97,26 — CONFERIR a base usada.</t>
        </is>
      </c>
    </row>
    <row r="29">
      <c r="A29" s="30" t="inlineStr">
        <is>
          <t>DESCONTO INSS</t>
        </is>
      </c>
      <c r="B29" s="35" t="n"/>
      <c r="C29" s="35" t="n"/>
      <c r="D29" s="35" t="n"/>
      <c r="E29" s="35" t="n"/>
      <c r="F29" s="35" t="n"/>
      <c r="G29" s="35" t="n"/>
      <c r="H29" s="20">
        <f>SUM(B29:G29)</f>
        <v/>
      </c>
      <c r="I29" s="33" t="inlineStr">
        <is>
          <t>A CALCULAR PELA CONTABILIDADE sobre o total de proventos.</t>
        </is>
      </c>
    </row>
    <row r="30">
      <c r="A30" s="30" t="inlineStr">
        <is>
          <t>DESCONTO IRRF</t>
        </is>
      </c>
      <c r="B30" s="35" t="n"/>
      <c r="C30" s="35" t="n"/>
      <c r="D30" s="35" t="n"/>
      <c r="E30" s="35" t="n"/>
      <c r="F30" s="35" t="n"/>
      <c r="G30" s="35" t="n"/>
      <c r="H30" s="20">
        <f>SUM(B30:G30)</f>
        <v/>
      </c>
      <c r="I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SUM(B31:G31)</f>
        <v/>
      </c>
      <c r="I31" s="33" t="inlineStr"/>
    </row>
    <row r="32" ht="19" customHeight="1">
      <c r="A32" s="3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</row>
    <row r="33">
      <c r="A33" s="15" t="inlineStr">
        <is>
          <t>LÍQUIDO A RECEBER (05/09/2026)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SUM(B33:G33)</f>
        <v/>
      </c>
      <c r="I33" s="33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</row>
    <row r="35">
      <c r="A35" s="30" t="inlineStr">
        <is>
          <t>VALE TRANSPORTE (compra set/26)</t>
        </is>
      </c>
      <c r="B35" s="35" t="n"/>
      <c r="C35" s="35" t="n"/>
      <c r="D35" s="35" t="n"/>
      <c r="E35" s="35" t="n"/>
      <c r="F35" s="35" t="n"/>
      <c r="G35" s="35" t="n"/>
      <c r="H35" s="20">
        <f>SUM(B35:G35)</f>
        <v/>
      </c>
      <c r="I35" s="33" t="inlineStr">
        <is>
          <t>PREENCHER com as passagens compradas para setembro/2026.</t>
        </is>
      </c>
    </row>
    <row r="36">
      <c r="A36" s="30" t="inlineStr">
        <is>
          <t>VALE ALIMENTAÇÃO FERIADOS E DOMINGOS</t>
        </is>
      </c>
      <c r="B36" s="35" t="n"/>
      <c r="C36" s="35" t="n"/>
      <c r="D36" s="35" t="n"/>
      <c r="E36" s="35" t="n"/>
      <c r="F36" s="35" t="n"/>
      <c r="G36" s="35" t="n"/>
      <c r="H36" s="20">
        <f>SUM(B36:G36)</f>
        <v/>
      </c>
      <c r="I36" s="33" t="inlineStr">
        <is>
          <t>PREENCHER conforme escala de domingos e feriados.</t>
        </is>
      </c>
    </row>
    <row r="38">
      <c r="A38" s="21" t="inlineStr">
        <is>
          <t>LEGENDA</t>
        </is>
      </c>
      <c r="B38" s="22" t="inlineStr"/>
    </row>
    <row r="39">
      <c r="A39" s="21" t="inlineStr">
        <is>
          <t>Célula amarela, texto azul</t>
        </is>
      </c>
      <c r="B39" s="22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22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22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22" t="inlineStr">
        <is>
          <t>resultado de fórmula — não alterar.</t>
        </is>
      </c>
    </row>
  </sheetData>
  <autoFilter ref="A4:I36"/>
  <mergeCells count="7">
    <mergeCell ref="A2:I2"/>
    <mergeCell ref="B39:I39"/>
    <mergeCell ref="B38:I38"/>
    <mergeCell ref="A1:I1"/>
    <mergeCell ref="B42:I42"/>
    <mergeCell ref="B41:I41"/>
    <mergeCell ref="B40:I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CENTRO · mesmos valores pagos, reorganizados e com fórmulas conferidas · confronto do DSR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5" t="n">
        <v>5648.41</v>
      </c>
      <c r="C6" s="35" t="n">
        <v>1621</v>
      </c>
      <c r="D6" s="35" t="n">
        <v>1621</v>
      </c>
      <c r="E6" s="35" t="n">
        <v>1621</v>
      </c>
      <c r="F6" s="35" t="n">
        <v>1621</v>
      </c>
      <c r="G6" s="35" t="n">
        <v>1621</v>
      </c>
      <c r="H6" s="20">
        <f>SUM(B6:G6)</f>
        <v/>
      </c>
      <c r="I6" s="33" t="inlineStr"/>
    </row>
    <row r="7">
      <c r="A7" s="30" t="inlineStr">
        <is>
          <t>ADICIONAL NOTURNO</t>
        </is>
      </c>
      <c r="B7" s="35" t="n"/>
      <c r="C7" s="35" t="n"/>
      <c r="D7" s="35" t="n"/>
      <c r="E7" s="35" t="n"/>
      <c r="F7" s="35" t="n"/>
      <c r="G7" s="35" t="n"/>
      <c r="H7" s="20">
        <f>SUM(B7:G7)</f>
        <v/>
      </c>
      <c r="I7" s="33" t="inlineStr"/>
    </row>
    <row r="8">
      <c r="A8" s="30" t="inlineStr">
        <is>
          <t>HORAS EXTRAS</t>
        </is>
      </c>
      <c r="B8" s="35" t="n"/>
      <c r="C8" s="35" t="n"/>
      <c r="D8" s="35" t="n"/>
      <c r="E8" s="35" t="n"/>
      <c r="F8" s="35" t="n"/>
      <c r="G8" s="35" t="n"/>
      <c r="H8" s="20">
        <f>SUM(B8:G8)</f>
        <v/>
      </c>
      <c r="I8" s="33" t="inlineStr"/>
    </row>
    <row r="9">
      <c r="A9" s="30" t="inlineStr">
        <is>
          <t>COMISSÃO PRODUTOS + PDV</t>
        </is>
      </c>
      <c r="B9" s="35" t="n"/>
      <c r="C9" s="35" t="n">
        <v>1400</v>
      </c>
      <c r="D9" s="35" t="n">
        <v>100</v>
      </c>
      <c r="E9" s="35" t="n">
        <v>1200</v>
      </c>
      <c r="F9" s="35" t="n">
        <v>60</v>
      </c>
      <c r="G9" s="35" t="n"/>
      <c r="H9" s="20">
        <f>SUM(B9:G9)</f>
        <v/>
      </c>
      <c r="I9" s="33" t="inlineStr">
        <is>
          <t>Como consta na aba CENTRO 05JULHO da planilha original.</t>
        </is>
      </c>
    </row>
    <row r="10">
      <c r="A10" s="30" t="inlineStr">
        <is>
          <t>REPOUSO REMUNERADO / DSR</t>
        </is>
      </c>
      <c r="B10" s="35" t="n"/>
      <c r="C10" s="35" t="n">
        <v>269.23</v>
      </c>
      <c r="D10" s="35" t="n">
        <v>19.23</v>
      </c>
      <c r="E10" s="35" t="n">
        <v>230.77</v>
      </c>
      <c r="F10" s="35" t="n">
        <v>11.54</v>
      </c>
      <c r="G10" s="35" t="n"/>
      <c r="H10" s="20">
        <f>SUM(B10:G10)</f>
        <v/>
      </c>
      <c r="I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5" t="n"/>
      <c r="C11" s="35" t="n"/>
      <c r="D11" s="35" t="n"/>
      <c r="E11" s="35" t="n"/>
      <c r="F11" s="35" t="n"/>
      <c r="G11" s="35" t="n"/>
      <c r="H11" s="20">
        <f>SUM(B11:G11)</f>
        <v/>
      </c>
      <c r="I11" s="33" t="inlineStr"/>
    </row>
    <row r="12">
      <c r="A12" s="30" t="inlineStr">
        <is>
          <t>PRÊMIO COTA GERAL</t>
        </is>
      </c>
      <c r="B12" s="35" t="n"/>
      <c r="C12" s="35" t="n">
        <v>300</v>
      </c>
      <c r="D12" s="35" t="n">
        <v>100</v>
      </c>
      <c r="E12" s="35" t="n">
        <v>150</v>
      </c>
      <c r="F12" s="35" t="n">
        <v>100</v>
      </c>
      <c r="G12" s="35" t="n"/>
      <c r="H12" s="20">
        <f>SUM(B12:G12)</f>
        <v/>
      </c>
      <c r="I12" s="33" t="inlineStr"/>
    </row>
    <row r="13">
      <c r="A13" s="30" t="inlineStr">
        <is>
          <t>PRÊMIO PRÉ-VENCIDOS</t>
        </is>
      </c>
      <c r="B13" s="35" t="n"/>
      <c r="C13" s="35" t="n">
        <v>250</v>
      </c>
      <c r="D13" s="35" t="n"/>
      <c r="E13" s="35" t="n">
        <v>100</v>
      </c>
      <c r="F13" s="35" t="n"/>
      <c r="G13" s="35" t="n"/>
      <c r="H13" s="20">
        <f>SUM(B13:G13)</f>
        <v/>
      </c>
      <c r="I13" s="33" t="inlineStr"/>
    </row>
    <row r="14">
      <c r="A14" s="30" t="inlineStr">
        <is>
          <t>INCENTIVO APLICAÇÕES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/>
    </row>
    <row r="15">
      <c r="A15" s="30" t="inlineStr">
        <is>
          <t>INCENTIVO VITAMINAS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SUM(G6:G15)</f>
        <v/>
      </c>
      <c r="H16" s="20">
        <f>SUM(B16:G16)</f>
        <v/>
      </c>
      <c r="I16" s="33" t="inlineStr"/>
    </row>
    <row r="17" ht="19" customHeight="1">
      <c r="A17" s="3" t="inlineStr">
        <is>
          <t>DESCONTOS</t>
        </is>
      </c>
      <c r="B17" s="29" t="n"/>
      <c r="C17" s="29" t="n"/>
      <c r="D17" s="29" t="n"/>
      <c r="E17" s="29" t="n"/>
      <c r="F17" s="29" t="n"/>
      <c r="G17" s="29" t="n"/>
      <c r="H17" s="29" t="n"/>
      <c r="I17" s="29" t="n"/>
    </row>
    <row r="18">
      <c r="A18" s="30" t="inlineStr">
        <is>
          <t>ADIANTAMENTO / VALES</t>
        </is>
      </c>
      <c r="B18" s="35" t="n"/>
      <c r="C18" s="35" t="n">
        <v>-1300</v>
      </c>
      <c r="D18" s="35" t="n">
        <v>-700</v>
      </c>
      <c r="E18" s="35" t="n">
        <v>-1000</v>
      </c>
      <c r="F18" s="35" t="n"/>
      <c r="G18" s="35" t="n"/>
      <c r="H18" s="20">
        <f>SUM(B18:G18)</f>
        <v/>
      </c>
      <c r="I18" s="33" t="inlineStr"/>
    </row>
    <row r="19">
      <c r="A19" s="30" t="inlineStr">
        <is>
          <t>CONVÊNIO</t>
        </is>
      </c>
      <c r="B19" s="35" t="n"/>
      <c r="C19" s="35" t="n"/>
      <c r="D19" s="35" t="n">
        <v>-400</v>
      </c>
      <c r="E19" s="35" t="n">
        <v>-400</v>
      </c>
      <c r="F19" s="35" t="n">
        <v>-200</v>
      </c>
      <c r="G19" s="35" t="n"/>
      <c r="H19" s="20">
        <f>SUM(B19:G19)</f>
        <v/>
      </c>
      <c r="I19" s="33" t="inlineStr"/>
    </row>
    <row r="20">
      <c r="A20" s="30" t="inlineStr">
        <is>
          <t>DESCONTO FALTAS</t>
        </is>
      </c>
      <c r="B20" s="35" t="n"/>
      <c r="C20" s="35" t="n"/>
      <c r="D20" s="35" t="n"/>
      <c r="E20" s="35" t="n"/>
      <c r="F20" s="35" t="n"/>
      <c r="G20" s="35" t="n"/>
      <c r="H20" s="20">
        <f>SUM(B20:G20)</f>
        <v/>
      </c>
      <c r="I20" s="33" t="inlineStr"/>
    </row>
    <row r="21">
      <c r="A21" s="30" t="inlineStr">
        <is>
          <t>DESCONTO VALE TRANSPORTE 6%</t>
        </is>
      </c>
      <c r="B21" s="35" t="n"/>
      <c r="C21" s="35" t="n">
        <v>-84.29000000000001</v>
      </c>
      <c r="D21" s="35" t="n">
        <v>-84.29000000000001</v>
      </c>
      <c r="E21" s="35" t="n">
        <v>-74.29000000000001</v>
      </c>
      <c r="F21" s="35" t="n">
        <v>-84.29000000000001</v>
      </c>
      <c r="G21" s="35" t="n"/>
      <c r="H21" s="20">
        <f>SUM(B21:G21)</f>
        <v/>
      </c>
      <c r="I21" s="33" t="inlineStr"/>
    </row>
    <row r="22">
      <c r="A22" s="30" t="inlineStr">
        <is>
          <t>DESCONTO INSS</t>
        </is>
      </c>
      <c r="B22" s="35" t="n">
        <v>-592.27</v>
      </c>
      <c r="C22" s="35" t="n">
        <v>-349.41</v>
      </c>
      <c r="D22" s="35" t="n">
        <v>-141.3</v>
      </c>
      <c r="E22" s="35" t="n">
        <v>-284.8</v>
      </c>
      <c r="F22" s="35" t="n">
        <v>-137</v>
      </c>
      <c r="G22" s="35" t="n"/>
      <c r="H22" s="20">
        <f>SUM(B22:G22)</f>
        <v/>
      </c>
      <c r="I22" s="33" t="inlineStr"/>
    </row>
    <row r="23">
      <c r="A23" s="30" t="inlineStr">
        <is>
          <t>DESCONTO IRRF</t>
        </is>
      </c>
      <c r="B23" s="35" t="n">
        <v>-251.04</v>
      </c>
      <c r="C23" s="35" t="n"/>
      <c r="D23" s="35" t="n"/>
      <c r="E23" s="35" t="n"/>
      <c r="F23" s="35" t="n"/>
      <c r="G23" s="35" t="n"/>
      <c r="H23" s="20">
        <f>SUM(B23:G23)</f>
        <v/>
      </c>
      <c r="I23" s="33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SUM(G18:G23)</f>
        <v/>
      </c>
      <c r="H24" s="20">
        <f>SUM(B24:G24)</f>
        <v/>
      </c>
      <c r="I24" s="33" t="inlineStr"/>
    </row>
    <row r="25" ht="19" customHeight="1">
      <c r="A25" s="3" t="inlineStr">
        <is>
          <t>LÍQUIDO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</row>
    <row r="26">
      <c r="A26" s="15" t="inlineStr">
        <is>
          <t>LÍQUIDO PAGO (05/08/2026)</t>
        </is>
      </c>
      <c r="B26" s="38">
        <f>B16+B24</f>
        <v/>
      </c>
      <c r="C26" s="38">
        <f>C16+C24</f>
        <v/>
      </c>
      <c r="D26" s="38">
        <f>D16+D24</f>
        <v/>
      </c>
      <c r="E26" s="38">
        <f>E16+E24</f>
        <v/>
      </c>
      <c r="F26" s="38">
        <f>F16+F24</f>
        <v/>
      </c>
      <c r="G26" s="38">
        <f>G16+G24</f>
        <v/>
      </c>
      <c r="H26" s="38">
        <f>SUM(B26:G26)</f>
        <v/>
      </c>
      <c r="I26" s="33" t="inlineStr"/>
    </row>
    <row r="27">
      <c r="A27" s="30" t="inlineStr">
        <is>
          <t>SALDO FINAL DA PLANILHA ORIGINAL</t>
        </is>
      </c>
      <c r="B27" s="35" t="n">
        <v>4805.1</v>
      </c>
      <c r="C27" s="35" t="n">
        <v>2106.53</v>
      </c>
      <c r="D27" s="35" t="n">
        <v>514.64</v>
      </c>
      <c r="E27" s="35" t="n">
        <v>1542.68</v>
      </c>
      <c r="F27" s="35" t="n">
        <v>1371.25</v>
      </c>
      <c r="G27" s="35" t="n">
        <v>1621</v>
      </c>
      <c r="H27" s="20">
        <f>SUM(B27:G27)</f>
        <v/>
      </c>
      <c r="I27" s="33" t="inlineStr">
        <is>
          <t>Valor que constava na aba CENTRO 05JULHO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ROUND(G26-G27,2)</f>
        <v/>
      </c>
      <c r="H28" s="20">
        <f>SUM(B28:G28)</f>
        <v/>
      </c>
      <c r="I28" s="33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9" t="n"/>
      <c r="C29" s="29" t="n"/>
      <c r="D29" s="29" t="n"/>
      <c r="E29" s="29" t="n"/>
      <c r="F29" s="29" t="n"/>
      <c r="G29" s="29" t="n"/>
      <c r="H29" s="29" t="n"/>
      <c r="I29" s="29" t="n"/>
    </row>
    <row r="30">
      <c r="A30" s="30" t="inlineStr">
        <is>
          <t>DSR pago (fator 5/26)</t>
        </is>
      </c>
      <c r="B30" s="36">
        <f>B10</f>
        <v/>
      </c>
      <c r="C30" s="36">
        <f>C10</f>
        <v/>
      </c>
      <c r="D30" s="36">
        <f>D10</f>
        <v/>
      </c>
      <c r="E30" s="36">
        <f>E10</f>
        <v/>
      </c>
      <c r="F30" s="36">
        <f>F10</f>
        <v/>
      </c>
      <c r="G30" s="36">
        <f>G10</f>
        <v/>
      </c>
      <c r="H30" s="20">
        <f>SUM(B30:G30)</f>
        <v/>
      </c>
      <c r="I30" s="33" t="inlineStr">
        <is>
          <t>Fator do calendário de agosto aplicado por engano na competência de julho.</t>
        </is>
      </c>
    </row>
    <row r="31">
      <c r="A31" s="30" t="inlineStr">
        <is>
          <t>DSR recalculado (fator 4/27 · comissão + HE)</t>
        </is>
      </c>
      <c r="B31" s="36">
        <f>ROUND((B9+B8)*4/27,2)</f>
        <v/>
      </c>
      <c r="C31" s="36">
        <f>ROUND((C9+C8)*4/27,2)</f>
        <v/>
      </c>
      <c r="D31" s="36">
        <f>ROUND((D9+D8)*4/27,2)</f>
        <v/>
      </c>
      <c r="E31" s="36">
        <f>ROUND((E9+E8)*4/27,2)</f>
        <v/>
      </c>
      <c r="F31" s="36">
        <f>ROUND((F9+F8)*4/27,2)</f>
        <v/>
      </c>
      <c r="G31" s="36">
        <f>ROUND((G9+G8)*4/27,2)</f>
        <v/>
      </c>
      <c r="H31" s="20">
        <f>SUM(B31:G31)</f>
        <v/>
      </c>
      <c r="I31" s="33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2">
        <f>ROUND(B31-B30,2)</f>
        <v/>
      </c>
      <c r="C32" s="32">
        <f>ROUND(C31-C30,2)</f>
        <v/>
      </c>
      <c r="D32" s="32">
        <f>ROUND(D31-D30,2)</f>
        <v/>
      </c>
      <c r="E32" s="32">
        <f>ROUND(E31-E30,2)</f>
        <v/>
      </c>
      <c r="F32" s="32">
        <f>ROUND(F31-F30,2)</f>
        <v/>
      </c>
      <c r="G32" s="32">
        <f>ROUND(G31-G30,2)</f>
        <v/>
      </c>
      <c r="H32" s="32">
        <f>SUM(B32:G32)</f>
        <v/>
      </c>
      <c r="I32" s="33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9" t="n"/>
      <c r="C33" s="29" t="n"/>
      <c r="D33" s="29" t="n"/>
      <c r="E33" s="29" t="n"/>
      <c r="F33" s="29" t="n"/>
      <c r="G33" s="29" t="n"/>
      <c r="H33" s="29" t="n"/>
      <c r="I33" s="29" t="n"/>
    </row>
    <row r="34">
      <c r="A34" s="30" t="inlineStr">
        <is>
          <t>VALE TRANSPORTE</t>
        </is>
      </c>
      <c r="B34" s="35" t="n"/>
      <c r="C34" s="35" t="n">
        <v>270</v>
      </c>
      <c r="D34" s="35" t="n"/>
      <c r="E34" s="35" t="n">
        <v>260</v>
      </c>
      <c r="F34" s="35" t="n">
        <v>260</v>
      </c>
      <c r="G34" s="35" t="n">
        <v>350</v>
      </c>
      <c r="H34" s="20">
        <f>SUM(B34:G34)</f>
        <v/>
      </c>
      <c r="I34" s="33" t="inlineStr">
        <is>
          <t>Compra registrada na planilha original.</t>
        </is>
      </c>
    </row>
    <row r="36">
      <c r="A36" s="39" t="inlineStr">
        <is>
          <t>AJUSTES FEITOS NESTA REVISÃO (a planilha original continua intacta):</t>
        </is>
      </c>
    </row>
    <row r="37">
      <c r="A37" s="40" t="inlineStr">
        <is>
          <t>1. Rubricas separadas em PROVENTOS × DESCONTOS, com subtotais próprios.</t>
        </is>
      </c>
    </row>
    <row r="38">
      <c r="A38" s="40" t="inlineStr">
        <is>
          <t>2. Nomes de rubrica padronizados e coluna de observação com a origem de cada valor.</t>
        </is>
      </c>
    </row>
    <row r="39">
      <c r="A39" s="40" t="inlineStr">
        <is>
          <t>3. Conferência do DSR: em julho foi usado o fator de agosto (5/26) em vez de 4/27.</t>
        </is>
      </c>
    </row>
    <row r="40">
      <c r="A40" s="40" t="inlineStr">
        <is>
          <t>4. Linha de conferência comparando o líquido revisado com o SALDO FINAL da planilha original (tem que fechar em zero).</t>
        </is>
      </c>
    </row>
  </sheetData>
  <autoFilter ref="A4:I28"/>
  <mergeCells count="7">
    <mergeCell ref="A2:I2"/>
    <mergeCell ref="A37:I37"/>
    <mergeCell ref="A36:I36"/>
    <mergeCell ref="A1:I1"/>
    <mergeCell ref="A40:I40"/>
    <mergeCell ref="A39:I39"/>
    <mergeCell ref="A38:I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AGO.26'!B6</f>
        <v/>
      </c>
      <c r="E5" s="41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AGO.26'!B7</f>
        <v/>
      </c>
      <c r="E6" s="41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AGO.26'!B8</f>
        <v/>
      </c>
      <c r="E7" s="41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AGO.26'!B11</f>
        <v/>
      </c>
      <c r="E8" s="41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AGO.26'!B12</f>
        <v/>
      </c>
      <c r="E9" s="41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AGO.26'!B13</f>
        <v/>
      </c>
      <c r="E10" s="41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AGO.26'!B14</f>
        <v/>
      </c>
      <c r="E11" s="41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AGO.26'!B15</f>
        <v/>
      </c>
      <c r="E12" s="41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AGO.26'!B16</f>
        <v/>
      </c>
      <c r="E13" s="41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4">
        <f>'HOLERITE AGO.26'!B17</f>
        <v/>
      </c>
      <c r="E14" s="41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4">
        <f>'HOLERITE AGO.26'!B18</f>
        <v/>
      </c>
      <c r="E15" s="41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4">
        <f>'HOLERITE AGO.26'!B19</f>
        <v/>
      </c>
      <c r="E16" s="41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4">
        <f>'HOLERITE AGO.26'!B20</f>
        <v/>
      </c>
      <c r="E17" s="41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4">
        <f>'HOLERITE AGO.26'!B21</f>
        <v/>
      </c>
      <c r="E18" s="41" t="n"/>
    </row>
    <row r="19">
      <c r="A19" s="42" t="inlineStr">
        <is>
          <t>ARIANE</t>
        </is>
      </c>
      <c r="B19" s="42" t="inlineStr">
        <is>
          <t>TOTAL DE PROVENTOS</t>
        </is>
      </c>
      <c r="C19" s="42" t="inlineStr">
        <is>
          <t>Subtotal</t>
        </is>
      </c>
      <c r="D19" s="43">
        <f>'HOLERITE AGO.26'!B22</f>
        <v/>
      </c>
      <c r="E19" s="18" t="n"/>
    </row>
    <row r="20">
      <c r="A20" s="30" t="inlineStr">
        <is>
          <t>ARIANE</t>
        </is>
      </c>
      <c r="B20" s="30" t="inlineStr">
        <is>
          <t>ADIANTAMENTO / VALES</t>
        </is>
      </c>
      <c r="C20" s="30" t="inlineStr">
        <is>
          <t>Desconto</t>
        </is>
      </c>
      <c r="D20" s="34">
        <f>'HOLERITE AGO.26'!B24</f>
        <v/>
      </c>
      <c r="E20" s="41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4">
        <f>'HOLERITE AGO.26'!B25</f>
        <v/>
      </c>
      <c r="E21" s="41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4">
        <f>'HOLERITE AGO.26'!B26</f>
        <v/>
      </c>
      <c r="E22" s="41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4">
        <f>'HOLERITE AGO.26'!B27</f>
        <v/>
      </c>
      <c r="E23" s="41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4">
        <f>'HOLERITE AGO.26'!B28</f>
        <v/>
      </c>
      <c r="E24" s="41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4">
        <f>'HOLERITE AGO.26'!B29</f>
        <v/>
      </c>
      <c r="E25" s="41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4">
        <f>'HOLERITE AGO.26'!B30</f>
        <v/>
      </c>
      <c r="E26" s="41" t="n"/>
    </row>
    <row r="27">
      <c r="A27" s="42" t="inlineStr">
        <is>
          <t>ARIANE</t>
        </is>
      </c>
      <c r="B27" s="42" t="inlineStr">
        <is>
          <t>TOTAL DE DESCONTOS</t>
        </is>
      </c>
      <c r="C27" s="42" t="inlineStr">
        <is>
          <t>Subtotal</t>
        </is>
      </c>
      <c r="D27" s="43">
        <f>'HOLERITE AGO.26'!B31</f>
        <v/>
      </c>
      <c r="E27" s="18" t="n"/>
    </row>
    <row r="28">
      <c r="A28" s="44" t="inlineStr">
        <is>
          <t>ARIANE</t>
        </is>
      </c>
      <c r="B28" s="45" t="inlineStr">
        <is>
          <t>LÍQUIDO A RECEBER</t>
        </is>
      </c>
      <c r="C28" s="45" t="inlineStr">
        <is>
          <t>Líquido</t>
        </is>
      </c>
      <c r="D28" s="46">
        <f>'HOLERITE AGO.26'!B33</f>
        <v/>
      </c>
      <c r="E28" s="47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4">
        <f>'HOLERITE AGO.26'!C6</f>
        <v/>
      </c>
      <c r="E30" s="41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4">
        <f>'HOLERITE AGO.26'!C7</f>
        <v/>
      </c>
      <c r="E31" s="41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4">
        <f>'HOLERITE AGO.26'!C8</f>
        <v/>
      </c>
      <c r="E32" s="41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4">
        <f>'HOLERITE AGO.26'!C11</f>
        <v/>
      </c>
      <c r="E33" s="41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4">
        <f>'HOLERITE AGO.26'!C12</f>
        <v/>
      </c>
      <c r="E34" s="41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4">
        <f>'HOLERITE AGO.26'!C13</f>
        <v/>
      </c>
      <c r="E35" s="41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4">
        <f>'HOLERITE AGO.26'!C14</f>
        <v/>
      </c>
      <c r="E36" s="41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4">
        <f>'HOLERITE AGO.26'!C15</f>
        <v/>
      </c>
      <c r="E37" s="41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4">
        <f>'HOLERITE AGO.26'!C16</f>
        <v/>
      </c>
      <c r="E38" s="41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4">
        <f>'HOLERITE AGO.26'!C17</f>
        <v/>
      </c>
      <c r="E39" s="41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4">
        <f>'HOLERITE AGO.26'!C18</f>
        <v/>
      </c>
      <c r="E40" s="41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4">
        <f>'HOLERITE AGO.26'!C19</f>
        <v/>
      </c>
      <c r="E41" s="41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4">
        <f>'HOLERITE AGO.26'!C20</f>
        <v/>
      </c>
      <c r="E42" s="41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4">
        <f>'HOLERITE AGO.26'!C21</f>
        <v/>
      </c>
      <c r="E43" s="41" t="n"/>
    </row>
    <row r="44">
      <c r="A44" s="42" t="inlineStr">
        <is>
          <t>ELIANA</t>
        </is>
      </c>
      <c r="B44" s="42" t="inlineStr">
        <is>
          <t>TOTAL DE PROVENTOS</t>
        </is>
      </c>
      <c r="C44" s="42" t="inlineStr">
        <is>
          <t>Subtotal</t>
        </is>
      </c>
      <c r="D44" s="43">
        <f>'HOLERITE AGO.26'!C22</f>
        <v/>
      </c>
      <c r="E44" s="18" t="n"/>
    </row>
    <row r="45">
      <c r="A45" s="30" t="inlineStr">
        <is>
          <t>ELIANA</t>
        </is>
      </c>
      <c r="B45" s="30" t="inlineStr">
        <is>
          <t>ADIANTAMENTO / VALES</t>
        </is>
      </c>
      <c r="C45" s="30" t="inlineStr">
        <is>
          <t>Desconto</t>
        </is>
      </c>
      <c r="D45" s="34">
        <f>'HOLERITE AGO.26'!C24</f>
        <v/>
      </c>
      <c r="E45" s="41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4">
        <f>'HOLERITE AGO.26'!C25</f>
        <v/>
      </c>
      <c r="E46" s="41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4">
        <f>'HOLERITE AGO.26'!C26</f>
        <v/>
      </c>
      <c r="E47" s="41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4">
        <f>'HOLERITE AGO.26'!C27</f>
        <v/>
      </c>
      <c r="E48" s="41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4">
        <f>'HOLERITE AGO.26'!C28</f>
        <v/>
      </c>
      <c r="E49" s="41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4">
        <f>'HOLERITE AGO.26'!C29</f>
        <v/>
      </c>
      <c r="E50" s="41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4">
        <f>'HOLERITE AGO.26'!C30</f>
        <v/>
      </c>
      <c r="E51" s="41" t="n"/>
    </row>
    <row r="52">
      <c r="A52" s="42" t="inlineStr">
        <is>
          <t>ELIANA</t>
        </is>
      </c>
      <c r="B52" s="42" t="inlineStr">
        <is>
          <t>TOTAL DE DESCONTOS</t>
        </is>
      </c>
      <c r="C52" s="42" t="inlineStr">
        <is>
          <t>Subtotal</t>
        </is>
      </c>
      <c r="D52" s="43">
        <f>'HOLERITE AGO.26'!C31</f>
        <v/>
      </c>
      <c r="E52" s="18" t="n"/>
    </row>
    <row r="53">
      <c r="A53" s="44" t="inlineStr">
        <is>
          <t>ELIANA</t>
        </is>
      </c>
      <c r="B53" s="45" t="inlineStr">
        <is>
          <t>LÍQUIDO A RECEBER</t>
        </is>
      </c>
      <c r="C53" s="45" t="inlineStr">
        <is>
          <t>Líquido</t>
        </is>
      </c>
      <c r="D53" s="46">
        <f>'HOLERITE AGO.26'!C33</f>
        <v/>
      </c>
      <c r="E53" s="47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4">
        <f>'HOLERITE AGO.26'!D6</f>
        <v/>
      </c>
      <c r="E55" s="41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4">
        <f>'HOLERITE AGO.26'!D7</f>
        <v/>
      </c>
      <c r="E56" s="41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4">
        <f>'HOLERITE AGO.26'!D8</f>
        <v/>
      </c>
      <c r="E57" s="41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4">
        <f>'HOLERITE AGO.26'!D11</f>
        <v/>
      </c>
      <c r="E58" s="41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4">
        <f>'HOLERITE AGO.26'!D12</f>
        <v/>
      </c>
      <c r="E59" s="41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4">
        <f>'HOLERITE AGO.26'!D13</f>
        <v/>
      </c>
      <c r="E60" s="41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4">
        <f>'HOLERITE AGO.26'!D14</f>
        <v/>
      </c>
      <c r="E61" s="41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4">
        <f>'HOLERITE AGO.26'!D15</f>
        <v/>
      </c>
      <c r="E62" s="41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4">
        <f>'HOLERITE AGO.26'!D16</f>
        <v/>
      </c>
      <c r="E63" s="41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4">
        <f>'HOLERITE AGO.26'!D17</f>
        <v/>
      </c>
      <c r="E64" s="41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4">
        <f>'HOLERITE AGO.26'!D18</f>
        <v/>
      </c>
      <c r="E65" s="41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4">
        <f>'HOLERITE AGO.26'!D19</f>
        <v/>
      </c>
      <c r="E66" s="41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4">
        <f>'HOLERITE AGO.26'!D20</f>
        <v/>
      </c>
      <c r="E67" s="41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4">
        <f>'HOLERITE AGO.26'!D21</f>
        <v/>
      </c>
      <c r="E68" s="41" t="n"/>
    </row>
    <row r="69">
      <c r="A69" s="42" t="inlineStr">
        <is>
          <t>GENECIR</t>
        </is>
      </c>
      <c r="B69" s="42" t="inlineStr">
        <is>
          <t>TOTAL DE PROVENTOS</t>
        </is>
      </c>
      <c r="C69" s="42" t="inlineStr">
        <is>
          <t>Subtotal</t>
        </is>
      </c>
      <c r="D69" s="43">
        <f>'HOLERITE AGO.26'!D22</f>
        <v/>
      </c>
      <c r="E69" s="18" t="n"/>
    </row>
    <row r="70">
      <c r="A70" s="30" t="inlineStr">
        <is>
          <t>GENECIR</t>
        </is>
      </c>
      <c r="B70" s="30" t="inlineStr">
        <is>
          <t>ADIANTAMENTO / VALES</t>
        </is>
      </c>
      <c r="C70" s="30" t="inlineStr">
        <is>
          <t>Desconto</t>
        </is>
      </c>
      <c r="D70" s="34">
        <f>'HOLERITE AGO.26'!D24</f>
        <v/>
      </c>
      <c r="E70" s="41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4">
        <f>'HOLERITE AGO.26'!D25</f>
        <v/>
      </c>
      <c r="E71" s="41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4">
        <f>'HOLERITE AGO.26'!D26</f>
        <v/>
      </c>
      <c r="E72" s="41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4">
        <f>'HOLERITE AGO.26'!D27</f>
        <v/>
      </c>
      <c r="E73" s="41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4">
        <f>'HOLERITE AGO.26'!D28</f>
        <v/>
      </c>
      <c r="E74" s="41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4">
        <f>'HOLERITE AGO.26'!D29</f>
        <v/>
      </c>
      <c r="E75" s="41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4">
        <f>'HOLERITE AGO.26'!D30</f>
        <v/>
      </c>
      <c r="E76" s="41" t="n"/>
    </row>
    <row r="77">
      <c r="A77" s="42" t="inlineStr">
        <is>
          <t>GENECIR</t>
        </is>
      </c>
      <c r="B77" s="42" t="inlineStr">
        <is>
          <t>TOTAL DE DESCONTOS</t>
        </is>
      </c>
      <c r="C77" s="42" t="inlineStr">
        <is>
          <t>Subtotal</t>
        </is>
      </c>
      <c r="D77" s="43">
        <f>'HOLERITE AGO.26'!D31</f>
        <v/>
      </c>
      <c r="E77" s="18" t="n"/>
    </row>
    <row r="78">
      <c r="A78" s="44" t="inlineStr">
        <is>
          <t>GENECIR</t>
        </is>
      </c>
      <c r="B78" s="45" t="inlineStr">
        <is>
          <t>LÍQUIDO A RECEBER</t>
        </is>
      </c>
      <c r="C78" s="45" t="inlineStr">
        <is>
          <t>Líquido</t>
        </is>
      </c>
      <c r="D78" s="46">
        <f>'HOLERITE AGO.26'!D33</f>
        <v/>
      </c>
      <c r="E78" s="47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4">
        <f>'HOLERITE AGO.26'!E6</f>
        <v/>
      </c>
      <c r="E80" s="41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4">
        <f>'HOLERITE AGO.26'!E7</f>
        <v/>
      </c>
      <c r="E81" s="41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4">
        <f>'HOLERITE AGO.26'!E8</f>
        <v/>
      </c>
      <c r="E82" s="41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4">
        <f>'HOLERITE AGO.26'!E11</f>
        <v/>
      </c>
      <c r="E83" s="41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4">
        <f>'HOLERITE AGO.26'!E12</f>
        <v/>
      </c>
      <c r="E84" s="41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4">
        <f>'HOLERITE AGO.26'!E13</f>
        <v/>
      </c>
      <c r="E85" s="41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4">
        <f>'HOLERITE AGO.26'!E14</f>
        <v/>
      </c>
      <c r="E86" s="41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4">
        <f>'HOLERITE AGO.26'!E15</f>
        <v/>
      </c>
      <c r="E87" s="41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4">
        <f>'HOLERITE AGO.26'!E16</f>
        <v/>
      </c>
      <c r="E88" s="41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4">
        <f>'HOLERITE AGO.26'!E17</f>
        <v/>
      </c>
      <c r="E89" s="41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4">
        <f>'HOLERITE AGO.26'!E18</f>
        <v/>
      </c>
      <c r="E90" s="41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4">
        <f>'HOLERITE AGO.26'!E19</f>
        <v/>
      </c>
      <c r="E91" s="41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4">
        <f>'HOLERITE AGO.26'!E20</f>
        <v/>
      </c>
      <c r="E92" s="41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4">
        <f>'HOLERITE AGO.26'!E21</f>
        <v/>
      </c>
      <c r="E93" s="41" t="n"/>
    </row>
    <row r="94">
      <c r="A94" s="42" t="inlineStr">
        <is>
          <t>RENALDO</t>
        </is>
      </c>
      <c r="B94" s="42" t="inlineStr">
        <is>
          <t>TOTAL DE PROVENTOS</t>
        </is>
      </c>
      <c r="C94" s="42" t="inlineStr">
        <is>
          <t>Subtotal</t>
        </is>
      </c>
      <c r="D94" s="43">
        <f>'HOLERITE AGO.26'!E22</f>
        <v/>
      </c>
      <c r="E94" s="18" t="n"/>
    </row>
    <row r="95">
      <c r="A95" s="30" t="inlineStr">
        <is>
          <t>RENALDO</t>
        </is>
      </c>
      <c r="B95" s="30" t="inlineStr">
        <is>
          <t>ADIANTAMENTO / VALES</t>
        </is>
      </c>
      <c r="C95" s="30" t="inlineStr">
        <is>
          <t>Desconto</t>
        </is>
      </c>
      <c r="D95" s="34">
        <f>'HOLERITE AGO.26'!E24</f>
        <v/>
      </c>
      <c r="E95" s="41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4">
        <f>'HOLERITE AGO.26'!E25</f>
        <v/>
      </c>
      <c r="E96" s="41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4">
        <f>'HOLERITE AGO.26'!E26</f>
        <v/>
      </c>
      <c r="E97" s="41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4">
        <f>'HOLERITE AGO.26'!E27</f>
        <v/>
      </c>
      <c r="E98" s="41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4">
        <f>'HOLERITE AGO.26'!E28</f>
        <v/>
      </c>
      <c r="E99" s="41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4">
        <f>'HOLERITE AGO.26'!E29</f>
        <v/>
      </c>
      <c r="E100" s="41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4">
        <f>'HOLERITE AGO.26'!E30</f>
        <v/>
      </c>
      <c r="E101" s="41" t="n"/>
    </row>
    <row r="102">
      <c r="A102" s="42" t="inlineStr">
        <is>
          <t>RENALDO</t>
        </is>
      </c>
      <c r="B102" s="42" t="inlineStr">
        <is>
          <t>TOTAL DE DESCONTOS</t>
        </is>
      </c>
      <c r="C102" s="42" t="inlineStr">
        <is>
          <t>Subtotal</t>
        </is>
      </c>
      <c r="D102" s="43">
        <f>'HOLERITE AGO.26'!E31</f>
        <v/>
      </c>
      <c r="E102" s="18" t="n"/>
    </row>
    <row r="103">
      <c r="A103" s="44" t="inlineStr">
        <is>
          <t>RENALDO</t>
        </is>
      </c>
      <c r="B103" s="45" t="inlineStr">
        <is>
          <t>LÍQUIDO A RECEBER</t>
        </is>
      </c>
      <c r="C103" s="45" t="inlineStr">
        <is>
          <t>Líquido</t>
        </is>
      </c>
      <c r="D103" s="46">
        <f>'HOLERITE AGO.26'!E33</f>
        <v/>
      </c>
      <c r="E103" s="47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4">
        <f>'HOLERITE AGO.26'!F6</f>
        <v/>
      </c>
      <c r="E105" s="41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4">
        <f>'HOLERITE AGO.26'!F7</f>
        <v/>
      </c>
      <c r="E106" s="41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4">
        <f>'HOLERITE AGO.26'!F8</f>
        <v/>
      </c>
      <c r="E107" s="41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4">
        <f>'HOLERITE AGO.26'!F11</f>
        <v/>
      </c>
      <c r="E108" s="41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4">
        <f>'HOLERITE AGO.26'!F12</f>
        <v/>
      </c>
      <c r="E109" s="41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4">
        <f>'HOLERITE AGO.26'!F13</f>
        <v/>
      </c>
      <c r="E110" s="41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4">
        <f>'HOLERITE AGO.26'!F14</f>
        <v/>
      </c>
      <c r="E111" s="41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4">
        <f>'HOLERITE AGO.26'!F15</f>
        <v/>
      </c>
      <c r="E112" s="41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4">
        <f>'HOLERITE AGO.26'!F16</f>
        <v/>
      </c>
      <c r="E113" s="41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4">
        <f>'HOLERITE AGO.26'!F17</f>
        <v/>
      </c>
      <c r="E114" s="41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4">
        <f>'HOLERITE AGO.26'!F18</f>
        <v/>
      </c>
      <c r="E115" s="41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4">
        <f>'HOLERITE AGO.26'!F19</f>
        <v/>
      </c>
      <c r="E116" s="41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4">
        <f>'HOLERITE AGO.26'!F20</f>
        <v/>
      </c>
      <c r="E117" s="41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4">
        <f>'HOLERITE AGO.26'!F21</f>
        <v/>
      </c>
      <c r="E118" s="41" t="n"/>
    </row>
    <row r="119">
      <c r="A119" s="42" t="inlineStr">
        <is>
          <t>THAYANE</t>
        </is>
      </c>
      <c r="B119" s="42" t="inlineStr">
        <is>
          <t>TOTAL DE PROVENTOS</t>
        </is>
      </c>
      <c r="C119" s="42" t="inlineStr">
        <is>
          <t>Subtotal</t>
        </is>
      </c>
      <c r="D119" s="43">
        <f>'HOLERITE AGO.26'!F22</f>
        <v/>
      </c>
      <c r="E119" s="18" t="n"/>
    </row>
    <row r="120">
      <c r="A120" s="30" t="inlineStr">
        <is>
          <t>THAYANE</t>
        </is>
      </c>
      <c r="B120" s="30" t="inlineStr">
        <is>
          <t>ADIANTAMENTO / VALES</t>
        </is>
      </c>
      <c r="C120" s="30" t="inlineStr">
        <is>
          <t>Desconto</t>
        </is>
      </c>
      <c r="D120" s="34">
        <f>'HOLERITE AGO.26'!F24</f>
        <v/>
      </c>
      <c r="E120" s="41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4">
        <f>'HOLERITE AGO.26'!F25</f>
        <v/>
      </c>
      <c r="E121" s="41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4">
        <f>'HOLERITE AGO.26'!F26</f>
        <v/>
      </c>
      <c r="E122" s="41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4">
        <f>'HOLERITE AGO.26'!F27</f>
        <v/>
      </c>
      <c r="E123" s="41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4">
        <f>'HOLERITE AGO.26'!F28</f>
        <v/>
      </c>
      <c r="E124" s="41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4">
        <f>'HOLERITE AGO.26'!F29</f>
        <v/>
      </c>
      <c r="E125" s="41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4">
        <f>'HOLERITE AGO.26'!F30</f>
        <v/>
      </c>
      <c r="E126" s="41" t="n"/>
    </row>
    <row r="127">
      <c r="A127" s="42" t="inlineStr">
        <is>
          <t>THAYANE</t>
        </is>
      </c>
      <c r="B127" s="42" t="inlineStr">
        <is>
          <t>TOTAL DE DESCONTOS</t>
        </is>
      </c>
      <c r="C127" s="42" t="inlineStr">
        <is>
          <t>Subtotal</t>
        </is>
      </c>
      <c r="D127" s="43">
        <f>'HOLERITE AGO.26'!F31</f>
        <v/>
      </c>
      <c r="E127" s="18" t="n"/>
    </row>
    <row r="128">
      <c r="A128" s="44" t="inlineStr">
        <is>
          <t>THAYANE</t>
        </is>
      </c>
      <c r="B128" s="45" t="inlineStr">
        <is>
          <t>LÍQUIDO A RECEBER</t>
        </is>
      </c>
      <c r="C128" s="45" t="inlineStr">
        <is>
          <t>Líquido</t>
        </is>
      </c>
      <c r="D128" s="46">
        <f>'HOLERITE AGO.26'!F33</f>
        <v/>
      </c>
      <c r="E128" s="47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4">
        <f>'HOLERITE AGO.26'!G6</f>
        <v/>
      </c>
      <c r="E130" s="41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4">
        <f>'HOLERITE AGO.26'!G7</f>
        <v/>
      </c>
      <c r="E131" s="41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4">
        <f>'HOLERITE AGO.26'!G8</f>
        <v/>
      </c>
      <c r="E132" s="41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4">
        <f>'HOLERITE AGO.26'!G11</f>
        <v/>
      </c>
      <c r="E133" s="41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4">
        <f>'HOLERITE AGO.26'!G12</f>
        <v/>
      </c>
      <c r="E134" s="41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4">
        <f>'HOLERITE AGO.26'!G13</f>
        <v/>
      </c>
      <c r="E135" s="41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4">
        <f>'HOLERITE AGO.26'!G14</f>
        <v/>
      </c>
      <c r="E136" s="41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4">
        <f>'HOLERITE AGO.26'!G15</f>
        <v/>
      </c>
      <c r="E137" s="41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4">
        <f>'HOLERITE AGO.26'!G16</f>
        <v/>
      </c>
      <c r="E138" s="41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4">
        <f>'HOLERITE AGO.26'!G17</f>
        <v/>
      </c>
      <c r="E139" s="41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4">
        <f>'HOLERITE AGO.26'!G18</f>
        <v/>
      </c>
      <c r="E140" s="41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4">
        <f>'HOLERITE AGO.26'!G19</f>
        <v/>
      </c>
      <c r="E141" s="41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4">
        <f>'HOLERITE AGO.26'!G20</f>
        <v/>
      </c>
      <c r="E142" s="41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4">
        <f>'HOLERITE AGO.26'!G21</f>
        <v/>
      </c>
      <c r="E143" s="41" t="n"/>
    </row>
    <row r="144">
      <c r="A144" s="42" t="inlineStr">
        <is>
          <t>PEDRO</t>
        </is>
      </c>
      <c r="B144" s="42" t="inlineStr">
        <is>
          <t>TOTAL DE PROVENTOS</t>
        </is>
      </c>
      <c r="C144" s="42" t="inlineStr">
        <is>
          <t>Subtotal</t>
        </is>
      </c>
      <c r="D144" s="43">
        <f>'HOLERITE AGO.26'!G22</f>
        <v/>
      </c>
      <c r="E144" s="18" t="n"/>
    </row>
    <row r="145">
      <c r="A145" s="30" t="inlineStr">
        <is>
          <t>PEDRO</t>
        </is>
      </c>
      <c r="B145" s="30" t="inlineStr">
        <is>
          <t>ADIANTAMENTO / VALES</t>
        </is>
      </c>
      <c r="C145" s="30" t="inlineStr">
        <is>
          <t>Desconto</t>
        </is>
      </c>
      <c r="D145" s="34">
        <f>'HOLERITE AGO.26'!G24</f>
        <v/>
      </c>
      <c r="E145" s="41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4">
        <f>'HOLERITE AGO.26'!G25</f>
        <v/>
      </c>
      <c r="E146" s="41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4">
        <f>'HOLERITE AGO.26'!G26</f>
        <v/>
      </c>
      <c r="E147" s="41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4">
        <f>'HOLERITE AGO.26'!G27</f>
        <v/>
      </c>
      <c r="E148" s="41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4">
        <f>'HOLERITE AGO.26'!G28</f>
        <v/>
      </c>
      <c r="E149" s="41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4">
        <f>'HOLERITE AGO.26'!G29</f>
        <v/>
      </c>
      <c r="E150" s="41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4">
        <f>'HOLERITE AGO.26'!G30</f>
        <v/>
      </c>
      <c r="E151" s="41" t="n"/>
    </row>
    <row r="152">
      <c r="A152" s="42" t="inlineStr">
        <is>
          <t>PEDRO</t>
        </is>
      </c>
      <c r="B152" s="42" t="inlineStr">
        <is>
          <t>TOTAL DE DESCONTOS</t>
        </is>
      </c>
      <c r="C152" s="42" t="inlineStr">
        <is>
          <t>Subtotal</t>
        </is>
      </c>
      <c r="D152" s="43">
        <f>'HOLERITE AGO.26'!G31</f>
        <v/>
      </c>
      <c r="E152" s="18" t="n"/>
    </row>
    <row r="153">
      <c r="A153" s="44" t="inlineStr">
        <is>
          <t>PEDRO</t>
        </is>
      </c>
      <c r="B153" s="45" t="inlineStr">
        <is>
          <t>LÍQUIDO A RECEBER</t>
        </is>
      </c>
      <c r="C153" s="45" t="inlineStr">
        <is>
          <t>Líquido</t>
        </is>
      </c>
      <c r="D153" s="46">
        <f>'HOLERITE AGO.26'!G33</f>
        <v/>
      </c>
      <c r="E153" s="47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AGOSTO/2026 · pagamento em 05/09/2026</t>
        </is>
      </c>
    </row>
    <row r="4">
      <c r="B4" s="48" t="inlineStr">
        <is>
          <t>Escolha o colaborador:</t>
        </is>
      </c>
      <c r="C4" s="49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AGO.26'!$B$6:$G$6,1,MATCH($C$4,'HOLERITE AGO.26'!$B$4:$G$4,0)),0)</f>
        <v/>
      </c>
    </row>
    <row r="8">
      <c r="B8" s="30" t="inlineStr">
        <is>
          <t>Adicional noturno</t>
        </is>
      </c>
      <c r="C8" s="34">
        <f>IFERROR(INDEX('HOLERITE AGO.26'!$B$7:$G$7,1,MATCH($C$4,'HOLERITE AGO.26'!$B$4:$G$4,0)),0)</f>
        <v/>
      </c>
    </row>
    <row r="9">
      <c r="B9" s="30" t="inlineStr">
        <is>
          <t>Horas extras</t>
        </is>
      </c>
      <c r="C9" s="34">
        <f>IFERROR(INDEX('HOLERITE AGO.26'!$B$8:$G$8,1,MATCH($C$4,'HOLERITE AGO.26'!$B$4:$G$4,0)),0)</f>
        <v/>
      </c>
    </row>
    <row r="10">
      <c r="B10" s="30" t="inlineStr">
        <is>
          <t>Comissão sobre vendas</t>
        </is>
      </c>
      <c r="C10" s="34">
        <f>IFERROR(INDEX('HOLERITE AGO.26'!$B$11:$G$11,1,MATCH($C$4,'HOLERITE AGO.26'!$B$4:$G$4,0)),0)</f>
        <v/>
      </c>
    </row>
    <row r="11">
      <c r="B11" s="30" t="inlineStr">
        <is>
          <t>Repouso remunerado / DSR</t>
        </is>
      </c>
      <c r="C11" s="34">
        <f>IFERROR(INDEX('HOLERITE AGO.26'!$B$12:$G$12,1,MATCH($C$4,'HOLERITE AGO.26'!$B$4:$G$4,0)),0)</f>
        <v/>
      </c>
    </row>
    <row r="12">
      <c r="B12" s="30" t="inlineStr">
        <is>
          <t>Auxílio gerência</t>
        </is>
      </c>
      <c r="C12" s="34">
        <f>IFERROR(INDEX('HOLERITE AGO.26'!$B$13:$G$13,1,MATCH($C$4,'HOLERITE AGO.26'!$B$4:$G$4,0)),0)</f>
        <v/>
      </c>
    </row>
    <row r="13">
      <c r="B13" s="30" t="inlineStr">
        <is>
          <t>Adicional prêmio meta caixa</t>
        </is>
      </c>
      <c r="C13" s="34">
        <f>IFERROR(INDEX('HOLERITE AGO.26'!$B$14:$G$14,1,MATCH($C$4,'HOLERITE AGO.26'!$B$4:$G$4,0)),0)</f>
        <v/>
      </c>
    </row>
    <row r="14">
      <c r="B14" s="30" t="inlineStr">
        <is>
          <t>Prêmio cota geral</t>
        </is>
      </c>
      <c r="C14" s="34">
        <f>IFERROR(INDEX('HOLERITE AGO.26'!$B$15:$G$15,1,MATCH($C$4,'HOLERITE AGO.26'!$B$4:$G$4,0)),0)</f>
        <v/>
      </c>
    </row>
    <row r="15">
      <c r="B15" s="30" t="inlineStr">
        <is>
          <t>Prêmio pré-vencidos</t>
        </is>
      </c>
      <c r="C15" s="34">
        <f>IFERROR(INDEX('HOLERITE AGO.26'!$B$16:$G$16,1,MATCH($C$4,'HOLERITE AGO.26'!$B$4:$G$4,0)),0)</f>
        <v/>
      </c>
    </row>
    <row r="16">
      <c r="B16" s="30" t="inlineStr">
        <is>
          <t>Férias</t>
        </is>
      </c>
      <c r="C16" s="34">
        <f>IFERROR(INDEX('HOLERITE AGO.26'!$B$17:$G$17,1,MATCH($C$4,'HOLERITE AGO.26'!$B$4:$G$4,0)),0)</f>
        <v/>
      </c>
    </row>
    <row r="17">
      <c r="B17" s="30" t="inlineStr">
        <is>
          <t>1/3 constitucional de férias</t>
        </is>
      </c>
      <c r="C17" s="34">
        <f>IFERROR(INDEX('HOLERITE AGO.26'!$B$18:$G$18,1,MATCH($C$4,'HOLERITE AGO.26'!$B$4:$G$4,0)),0)</f>
        <v/>
      </c>
    </row>
    <row r="18">
      <c r="B18" s="30" t="inlineStr">
        <is>
          <t>Incentivo aplicações</t>
        </is>
      </c>
      <c r="C18" s="34">
        <f>IFERROR(INDEX('HOLERITE AGO.26'!$B$19:$G$19,1,MATCH($C$4,'HOLERITE AGO.26'!$B$4:$G$4,0)),0)</f>
        <v/>
      </c>
    </row>
    <row r="19">
      <c r="B19" s="30" t="inlineStr">
        <is>
          <t>Incentivo vitaminas</t>
        </is>
      </c>
      <c r="C19" s="34">
        <f>IFERROR(INDEX('HOLERITE AGO.26'!$B$20:$G$20,1,MATCH($C$4,'HOLERITE AGO.26'!$B$4:$G$4,0)),0)</f>
        <v/>
      </c>
    </row>
    <row r="20">
      <c r="B20" s="30" t="inlineStr">
        <is>
          <t>Outros incentivos</t>
        </is>
      </c>
      <c r="C20" s="34">
        <f>IFERROR(INDEX('HOLERITE AGO.26'!$B$21:$G$21,1,MATCH($C$4,'HOLERITE AGO.26'!$B$4:$G$4,0)),0)</f>
        <v/>
      </c>
    </row>
    <row r="21">
      <c r="B21" s="19" t="inlineStr">
        <is>
          <t>TOTAL DE PROVENTOS</t>
        </is>
      </c>
      <c r="C21" s="43">
        <f>IFERROR(INDEX('HOLERITE AGO.26'!$B$22:$G$22,1,MATCH($C$4,'HOLERITE AGO.26'!$B$4:$G$4,0)),0)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/ vales</t>
        </is>
      </c>
      <c r="C23" s="34">
        <f>IFERROR(INDEX('HOLERITE AGO.26'!$B$24:$G$24,1,MATCH($C$4,'HOLERITE AGO.26'!$B$4:$G$4,0)),0)</f>
        <v/>
      </c>
    </row>
    <row r="24">
      <c r="B24" s="30" t="inlineStr">
        <is>
          <t>Adiantamento de incentivos e aplicações</t>
        </is>
      </c>
      <c r="C24" s="34">
        <f>IFERROR(INDEX('HOLERITE AGO.26'!$B$25:$G$25,1,MATCH($C$4,'HOLERITE AGO.26'!$B$4:$G$4,0)),0)</f>
        <v/>
      </c>
    </row>
    <row r="25">
      <c r="B25" s="30" t="inlineStr">
        <is>
          <t>Convênio</t>
        </is>
      </c>
      <c r="C25" s="34">
        <f>IFERROR(INDEX('HOLERITE AGO.26'!$B$26:$G$26,1,MATCH($C$4,'HOLERITE AGO.26'!$B$4:$G$4,0)),0)</f>
        <v/>
      </c>
    </row>
    <row r="26">
      <c r="B26" s="30" t="inlineStr">
        <is>
          <t>Faltas / atrasos</t>
        </is>
      </c>
      <c r="C26" s="34">
        <f>IFERROR(INDEX('HOLERITE AGO.26'!$B$27:$G$27,1,MATCH($C$4,'HOLERITE AGO.26'!$B$4:$G$4,0)),0)</f>
        <v/>
      </c>
    </row>
    <row r="27">
      <c r="B27" s="30" t="inlineStr">
        <is>
          <t>Vale transporte 6%</t>
        </is>
      </c>
      <c r="C27" s="34">
        <f>IFERROR(INDEX('HOLERITE AGO.26'!$B$28:$G$28,1,MATCH($C$4,'HOLERITE AGO.26'!$B$4:$G$4,0)),0)</f>
        <v/>
      </c>
    </row>
    <row r="28">
      <c r="B28" s="30" t="inlineStr">
        <is>
          <t>INSS</t>
        </is>
      </c>
      <c r="C28" s="34">
        <f>IFERROR(INDEX('HOLERITE AGO.26'!$B$29:$G$29,1,MATCH($C$4,'HOLERITE AGO.26'!$B$4:$G$4,0)),0)</f>
        <v/>
      </c>
    </row>
    <row r="29">
      <c r="B29" s="30" t="inlineStr">
        <is>
          <t>IRRF</t>
        </is>
      </c>
      <c r="C29" s="34">
        <f>IFERROR(INDEX('HOLERITE AGO.26'!$B$30:$G$30,1,MATCH($C$4,'HOLERITE AGO.26'!$B$4:$G$4,0)),0)</f>
        <v/>
      </c>
    </row>
    <row r="30">
      <c r="B30" s="19" t="inlineStr">
        <is>
          <t>TOTAL DE DESCONTOS</t>
        </is>
      </c>
      <c r="C30" s="43">
        <f>IFERROR(INDEX('HOLERITE AGO.26'!$B$31:$G$31,1,MATCH($C$4,'HOLERITE AGO.26'!$B$4:$G$4,0)),0)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0" t="inlineStr">
        <is>
          <t>LÍQUIDO A RECEBER EM 05/09/2026</t>
        </is>
      </c>
      <c r="C32" s="51">
        <f>IFERROR(INDEX('HOLERITE AGO.26'!$B$33:$G$33,1,MATCH($C$4,'HOLERITE AGO.26'!$B$4:$G$4,0)),0)</f>
        <v/>
      </c>
    </row>
    <row r="34">
      <c r="B34" s="52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AGO.26'!$C$5:$C$10,MATCH($C$4,'BASE INOVAFARMA AGO.26'!$B$5:$B$10,0)),0)</f>
        <v/>
      </c>
    </row>
    <row r="36">
      <c r="B36" s="30" t="inlineStr">
        <is>
          <t>Descontos concedidos</t>
        </is>
      </c>
      <c r="C36" s="34">
        <f>IFERROR(INDEX('BASE INOVAFARMA AGO.26'!$D$5:$D$10,MATCH($C$4,'BASE INOVAFARMA AGO.26'!$B$5:$B$10,0)),0)</f>
        <v/>
      </c>
    </row>
    <row r="37">
      <c r="B37" s="30" t="inlineStr">
        <is>
          <t>Venda líquida</t>
        </is>
      </c>
      <c r="C37" s="34">
        <f>IFERROR(INDEX('BASE INOVAFARMA AGO.26'!$E$5:$E$10,MATCH($C$4,'BASE INOVAFARMA AGO.26'!$B$5:$B$10,0)),0)</f>
        <v/>
      </c>
    </row>
    <row r="38">
      <c r="B38" s="30" t="inlineStr">
        <is>
          <t>Comissão apurada</t>
        </is>
      </c>
      <c r="C38" s="34">
        <f>IFERROR(INDEX('BASE INOVAFARMA AGO.26'!$F$5:$F$10,MATCH($C$4,'BASE INOVAFARMA AGO.26'!$B$5:$B$10,0)),0)</f>
        <v/>
      </c>
    </row>
    <row r="39">
      <c r="B39" s="30" t="inlineStr">
        <is>
          <t>Total de incentivos</t>
        </is>
      </c>
      <c r="C39" s="34">
        <f>IFERROR(INDEX('BASE INOVAFARMA AGO.26'!$J$5:$J$10,MATCH($C$4,'BASE INOVAFARMA AGO.26'!$B$5:$B$10,0)),0)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AGO.26.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CENTRO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53" t="n"/>
      <c r="B5" s="53" t="n"/>
      <c r="C5" s="53" t="n"/>
      <c r="D5" s="53" t="n"/>
      <c r="E5" s="34">
        <f>IFERROR(INDEX('HOLERITE AGO.26'!$B$6:$G$6,1,MATCH(A5,'HOLERITE AGO.26'!$B$4:$G$4,0)),0)</f>
        <v/>
      </c>
      <c r="F5" s="35" t="n"/>
      <c r="G5" s="20">
        <f>ROUND(C5*F5,2)</f>
        <v/>
      </c>
      <c r="H5" s="53" t="n"/>
      <c r="I5" s="53" t="n"/>
    </row>
    <row r="6">
      <c r="A6" s="53" t="n"/>
      <c r="B6" s="53" t="n"/>
      <c r="C6" s="53" t="n"/>
      <c r="D6" s="53" t="n"/>
      <c r="E6" s="34">
        <f>IFERROR(INDEX('HOLERITE AGO.26'!$B$6:$G$6,1,MATCH(A6,'HOLERITE AGO.26'!$B$4:$G$4,0)),0)</f>
        <v/>
      </c>
      <c r="F6" s="35" t="n"/>
      <c r="G6" s="20">
        <f>ROUND(C6*F6,2)</f>
        <v/>
      </c>
      <c r="H6" s="53" t="n"/>
      <c r="I6" s="53" t="n"/>
    </row>
    <row r="7">
      <c r="A7" s="53" t="n"/>
      <c r="B7" s="53" t="n"/>
      <c r="C7" s="53" t="n"/>
      <c r="D7" s="53" t="n"/>
      <c r="E7" s="34">
        <f>IFERROR(INDEX('HOLERITE AGO.26'!$B$6:$G$6,1,MATCH(A7,'HOLERITE AGO.26'!$B$4:$G$4,0)),0)</f>
        <v/>
      </c>
      <c r="F7" s="35" t="n"/>
      <c r="G7" s="20">
        <f>ROUND(C7*F7,2)</f>
        <v/>
      </c>
      <c r="H7" s="53" t="n"/>
      <c r="I7" s="53" t="n"/>
    </row>
    <row r="8">
      <c r="A8" s="53" t="n"/>
      <c r="B8" s="53" t="n"/>
      <c r="C8" s="53" t="n"/>
      <c r="D8" s="53" t="n"/>
      <c r="E8" s="34">
        <f>IFERROR(INDEX('HOLERITE AGO.26'!$B$6:$G$6,1,MATCH(A8,'HOLERITE AGO.26'!$B$4:$G$4,0)),0)</f>
        <v/>
      </c>
      <c r="F8" s="35" t="n"/>
      <c r="G8" s="20">
        <f>ROUND(C8*F8,2)</f>
        <v/>
      </c>
      <c r="H8" s="53" t="n"/>
      <c r="I8" s="53" t="n"/>
    </row>
    <row r="9">
      <c r="A9" s="53" t="n"/>
      <c r="B9" s="53" t="n"/>
      <c r="C9" s="53" t="n"/>
      <c r="D9" s="53" t="n"/>
      <c r="E9" s="34">
        <f>IFERROR(INDEX('HOLERITE AGO.26'!$B$6:$G$6,1,MATCH(A9,'HOLERITE AGO.26'!$B$4:$G$4,0)),0)</f>
        <v/>
      </c>
      <c r="F9" s="35" t="n"/>
      <c r="G9" s="20">
        <f>ROUND(C9*F9,2)</f>
        <v/>
      </c>
      <c r="H9" s="53" t="n"/>
      <c r="I9" s="53" t="n"/>
    </row>
    <row r="10">
      <c r="A10" s="53" t="n"/>
      <c r="B10" s="53" t="n"/>
      <c r="C10" s="53" t="n"/>
      <c r="D10" s="53" t="n"/>
      <c r="E10" s="34">
        <f>IFERROR(INDEX('HOLERITE AGO.26'!$B$6:$G$6,1,MATCH(A10,'HOLERITE AGO.26'!$B$4:$G$4,0)),0)</f>
        <v/>
      </c>
      <c r="F10" s="35" t="n"/>
      <c r="G10" s="20">
        <f>ROUND(C10*F10,2)</f>
        <v/>
      </c>
      <c r="H10" s="53" t="n"/>
      <c r="I10" s="53" t="n"/>
    </row>
    <row r="11">
      <c r="A11" s="53" t="n"/>
      <c r="B11" s="53" t="n"/>
      <c r="C11" s="53" t="n"/>
      <c r="D11" s="53" t="n"/>
      <c r="E11" s="34">
        <f>IFERROR(INDEX('HOLERITE AGO.26'!$B$6:$G$6,1,MATCH(A11,'HOLERITE AGO.26'!$B$4:$G$4,0)),0)</f>
        <v/>
      </c>
      <c r="F11" s="35" t="n"/>
      <c r="G11" s="20">
        <f>ROUND(C11*F11,2)</f>
        <v/>
      </c>
      <c r="H11" s="53" t="n"/>
      <c r="I11" s="53" t="n"/>
    </row>
    <row r="12">
      <c r="A12" s="53" t="n"/>
      <c r="B12" s="53" t="n"/>
      <c r="C12" s="53" t="n"/>
      <c r="D12" s="53" t="n"/>
      <c r="E12" s="34">
        <f>IFERROR(INDEX('HOLERITE AGO.26'!$B$6:$G$6,1,MATCH(A12,'HOLERITE AGO.26'!$B$4:$G$4,0)),0)</f>
        <v/>
      </c>
      <c r="F12" s="35" t="n"/>
      <c r="G12" s="20">
        <f>ROUND(C12*F12,2)</f>
        <v/>
      </c>
      <c r="H12" s="53" t="n"/>
      <c r="I12" s="53" t="n"/>
    </row>
    <row r="13">
      <c r="A13" s="18" t="n"/>
      <c r="B13" s="19" t="inlineStr">
        <is>
          <t>TOTAL</t>
        </is>
      </c>
      <c r="C13" s="18" t="n"/>
      <c r="D13" s="18" t="n"/>
      <c r="E13" s="18" t="n"/>
      <c r="F13" s="18" t="n"/>
      <c r="G13" s="20">
        <f>SUM(G5:G12)</f>
        <v/>
      </c>
      <c r="H13" s="18" t="n"/>
      <c r="I13" s="18" t="n"/>
    </row>
    <row r="15" ht="24" customHeight="1">
      <c r="A15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6" ht="24" customHeight="1">
      <c r="A16" s="9" t="inlineStr">
        <is>
          <t>No salário de R$ 1.621,00: 40 horas extras dão R$ 442,09 e 24 horas dão R$ 265,25 — é a mesma conta usada na planilha de julho.</t>
        </is>
      </c>
    </row>
    <row r="17" ht="24" customHeight="1">
      <c r="A17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8" ht="24" customHeight="1">
      <c r="A18" s="9" t="inlineStr">
        <is>
          <t>Os totais desta aba entram sozinhos nas linhas HORAS EXTRAS e ADICIONAL NOTURNO da aba HOLERITE AGO.26.</t>
        </is>
      </c>
    </row>
  </sheetData>
  <autoFilter ref="A4:I12"/>
  <mergeCells count="6">
    <mergeCell ref="A15:I15"/>
    <mergeCell ref="A2:I2"/>
    <mergeCell ref="A1:I1"/>
    <mergeCell ref="A17:I17"/>
    <mergeCell ref="A18:I18"/>
    <mergeCell ref="A16:I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agosto/2026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5" t="n">
        <v>150</v>
      </c>
      <c r="D5" s="8" t="n"/>
      <c r="E5" s="54">
        <f>C5*D5</f>
        <v/>
      </c>
      <c r="F5" s="35" t="n">
        <v>128.8</v>
      </c>
      <c r="G5" s="35" t="n">
        <v>40</v>
      </c>
      <c r="H5" s="38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5" t="n">
        <v>100</v>
      </c>
      <c r="D6" s="8" t="n"/>
      <c r="E6" s="54">
        <f>C6*D6</f>
        <v/>
      </c>
      <c r="F6" s="35" t="n">
        <v>83.56</v>
      </c>
      <c r="G6" s="35" t="n">
        <v>0</v>
      </c>
      <c r="H6" s="38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agosto/2026.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2026-09-03T15:34:25Z</dcterms:created>
  <dcterms:modified xsi:type="dcterms:W3CDTF">2026-09-03T15:34:25Z</dcterms:modified>
</cp:coreProperties>
</file>