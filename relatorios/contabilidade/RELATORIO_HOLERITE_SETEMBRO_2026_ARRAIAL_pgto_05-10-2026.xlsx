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HOLERITE SET.26" sheetId="4" state="visible" r:id="rId4"/>
    <sheet name="LISTA CONTABILIDADE" sheetId="5" state="visible" r:id="rId5"/>
    <sheet name="GANHOS DO COLABORADOR" sheetId="6" state="visible" r:id="rId6"/>
    <sheet name="PONTO SET.26" sheetId="7" state="visible" r:id="rId7"/>
  </sheets>
  <definedNames>
    <definedName name="_xlnm._FilterDatabase" localSheetId="2" hidden="1">'BASE INOVAFARMA SET.26'!$A$4:$J$12</definedName>
    <definedName name="_xlnm._FilterDatabase" localSheetId="3" hidden="1">'HOLERITE SET.26'!$A$4:$K$37</definedName>
    <definedName name="_xlnm._FilterDatabase" localSheetId="4" hidden="1">'LISTA CONTABILIDADE'!$A$4:$E$203</definedName>
    <definedName name="_xlnm.Print_Area" localSheetId="5">'GANHOS DO COLABORADOR'!$A$1:$D$44</definedName>
    <definedName name="_xlnm._FilterDatabase" localSheetId="6" hidden="1">'PONTO SET.26'!$A$4:$I$14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6" fillId="0" borderId="0" pivotButton="0" quotePrefix="0" xfId="0"/>
    <xf numFmtId="0" fontId="10" fillId="0" borderId="0" applyAlignment="1" pivotButton="0" quotePrefix="0" xfId="0">
      <alignment vertical="center" wrapText="1"/>
    </xf>
    <xf numFmtId="0" fontId="10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6" borderId="1" pivotButton="0" quotePrefix="0" xfId="0"/>
    <xf numFmtId="0" fontId="9" fillId="6" borderId="1" applyAlignment="1" pivotButton="0" quotePrefix="0" xfId="0">
      <alignment horizontal="center"/>
    </xf>
    <xf numFmtId="0" fontId="0" fillId="3" borderId="0" pivotButton="0" quotePrefix="0" xfId="0"/>
    <xf numFmtId="0" fontId="10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1" fillId="0" borderId="1" pivotButton="0" quotePrefix="0" xfId="0"/>
    <xf numFmtId="164" fontId="10" fillId="0" borderId="1" pivotButton="0" quotePrefix="0" xfId="0"/>
    <xf numFmtId="164" fontId="5" fillId="4" borderId="1" pivotButton="0" quotePrefix="0" xfId="0"/>
    <xf numFmtId="164" fontId="10" fillId="7" borderId="1" pivotButton="0" quotePrefix="0" xfId="0"/>
    <xf numFmtId="164" fontId="4" fillId="8" borderId="1" pivotButton="0" quotePrefix="0" xfId="0"/>
    <xf numFmtId="0" fontId="0" fillId="0" borderId="1" pivotButton="0" quotePrefix="0" xfId="0"/>
    <xf numFmtId="0" fontId="10" fillId="5" borderId="1" pivotButton="0" quotePrefix="0" xfId="0"/>
    <xf numFmtId="164" fontId="12" fillId="5" borderId="1" pivotButton="0" quotePrefix="0" xfId="0"/>
    <xf numFmtId="0" fontId="4" fillId="8" borderId="1" pivotButton="0" quotePrefix="0" xfId="0"/>
    <xf numFmtId="0" fontId="10" fillId="8" borderId="1" pivotButton="0" quotePrefix="0" xfId="0"/>
    <xf numFmtId="164" fontId="12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3" fillId="4" borderId="1" applyAlignment="1" pivotButton="0" quotePrefix="0" xfId="0">
      <alignment horizontal="center"/>
    </xf>
    <xf numFmtId="0" fontId="14" fillId="8" borderId="1" pivotButton="0" quotePrefix="0" xfId="0"/>
    <xf numFmtId="164" fontId="15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ARRAIAL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ARRAIAL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DEAN, AGNOR, EDEY, JOEL, VALÉRIA, SARA, CAMILA, NATI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 feriado de 07/09 ÷ 25 dias úteis = fator 0,200000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DEAN: não recebe comissão sobre vendas — a rubrica fica zerada.</t>
        </is>
      </c>
    </row>
    <row r="23" ht="17" customHeight="1">
      <c r="A23" s="4" t="inlineStr"/>
      <c r="B23" s="5" t="inlineStr">
        <is>
          <t>AGNOR: comissão fixa de R$ 2.000,00 — o complemento sobre o apurado é calculado sozinho.</t>
        </is>
      </c>
    </row>
    <row r="24" ht="17" customHeight="1">
      <c r="A24" s="4" t="inlineStr"/>
      <c r="B24" s="5" t="inlineStr">
        <is>
          <t>JOEL: salário proporcional a 27 dias (R$ 1.458,90), porque as férias foram até 03/09 e ele voltou em 04/09.</t>
        </is>
      </c>
    </row>
    <row r="25" ht="17" customHeight="1">
      <c r="A25" s="4" t="inlineStr"/>
      <c r="B25" s="5" t="inlineStr">
        <is>
          <t>SARA: o saldo dela na loja Centro deve ser somado aqui, na linha COMPLEMENTO / COMISSÃO PDV.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extras, adicional noturno e feriados trabalhados de setembro — lançar na aba PONTO SET.26.</t>
        </is>
      </c>
    </row>
    <row r="28" ht="17" customHeight="1">
      <c r="A28" s="4" t="inlineStr">
        <is>
          <t>•</t>
        </is>
      </c>
      <c r="B28" s="6" t="inlineStr">
        <is>
          <t>Prêmio cota geral e prêmio pré-vencidos, conforme a tabela de metas da loja.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Férias, afastamentos e admissões que mudem o salário do mês.</t>
        </is>
      </c>
    </row>
    <row r="31" ht="17" customHeight="1">
      <c r="A31" s="4" t="inlineStr">
        <is>
          <t>•</t>
        </is>
      </c>
      <c r="B31" s="6" t="inlineStr">
        <is>
          <t>Extrair o relatório de comissões de setembro no InovaFarma e preencher a aba BASE INOVAFARMA SET.26.</t>
        </is>
      </c>
    </row>
    <row r="32" ht="17" customHeight="1">
      <c r="A32" s="4" t="inlineStr">
        <is>
          <t>•</t>
        </is>
      </c>
      <c r="B32" s="6" t="inlineStr">
        <is>
          <t>JOEL: conferir o salário proporcional e lançar o vale-transporte de outubro cheio (ele já voltou).</t>
        </is>
      </c>
    </row>
    <row r="33" ht="17" customHeight="1">
      <c r="A33" s="4" t="inlineStr">
        <is>
          <t>•</t>
        </is>
      </c>
      <c r="B33" s="6" t="inlineStr">
        <is>
          <t>CAMILA: confirmar se segue com salário integral.</t>
        </is>
      </c>
    </row>
    <row r="34" ht="20" customHeight="1">
      <c r="A34" s="3" t="inlineStr">
        <is>
          <t>OBSERVAÇÃO TÉCNICA</t>
        </is>
      </c>
    </row>
    <row r="35" ht="17" customHeight="1">
      <c r="A35" s="4" t="inlineStr"/>
      <c r="B35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6" ht="20" customHeight="1">
      <c r="A36" s="3" t="inlineStr">
        <is>
          <t>ABAS DO ARQUIVO</t>
        </is>
      </c>
    </row>
    <row r="37" ht="17" customHeight="1">
      <c r="A37" s="4" t="inlineStr"/>
      <c r="B37" s="5" t="inlineStr">
        <is>
          <t>HOLERITE SET.26 — relatório principal da competência setembro/2026.</t>
        </is>
      </c>
    </row>
    <row r="38" ht="17" customHeight="1">
      <c r="A38" s="4" t="inlineStr"/>
      <c r="B38" s="5" t="inlineStr">
        <is>
          <t>GANHOS DO COLABORADOR — demonstrativo individual, pronto para imprimir/mandar.</t>
        </is>
      </c>
    </row>
    <row r="39" ht="17" customHeight="1">
      <c r="A39" s="4" t="inlineStr"/>
      <c r="B39" s="5" t="inlineStr">
        <is>
          <t>LISTA CONTABILIDADE — os mesmos lançamentos em formato de lista.</t>
        </is>
      </c>
    </row>
    <row r="40" ht="17" customHeight="1">
      <c r="A40" s="4" t="inlineStr"/>
      <c r="B40" s="5" t="inlineStr">
        <is>
          <t>BASE INOVAFARMA SET.26 — apuração de comissões e incentivos por vendedor.</t>
        </is>
      </c>
    </row>
    <row r="41" ht="17" customHeight="1">
      <c r="A41" s="4" t="inlineStr"/>
      <c r="B41" s="5" t="inlineStr">
        <is>
          <t>PARÂMETROS — calendário do mês, fator do DSR e valores fixos.</t>
        </is>
      </c>
    </row>
    <row r="42" ht="17" customHeight="1">
      <c r="A42" s="4" t="inlineStr"/>
      <c r="B42" s="5" t="inlineStr">
        <is>
          <t>PONTO SET.26 — horas extras, adicional noturno e feriado trabalhado; alimenta o holerite.</t>
        </is>
      </c>
    </row>
  </sheetData>
  <mergeCells count="9">
    <mergeCell ref="A4:B4"/>
    <mergeCell ref="A26:B26"/>
    <mergeCell ref="A21:B21"/>
    <mergeCell ref="A2:B2"/>
    <mergeCell ref="A10:B10"/>
    <mergeCell ref="A36:B36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ARRAIAL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ARRAIAL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06, 13, 20 e 27/09/2026, mais o feriado de 07/09 (segunda-feira). CONFERIR feriados municipais.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ARRAIAL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242</v>
      </c>
      <c r="B5" s="15" t="inlineStr">
        <is>
          <t>DEAN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53</v>
      </c>
      <c r="B6" s="15" t="inlineStr">
        <is>
          <t>AGNOR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272</v>
      </c>
      <c r="B7" s="15" t="inlineStr">
        <is>
          <t>EDEY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181</v>
      </c>
      <c r="B8" s="15" t="inlineStr">
        <is>
          <t>JOEL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292</v>
      </c>
      <c r="B9" s="15" t="inlineStr">
        <is>
          <t>VALÉRIA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4" t="n">
        <v>43</v>
      </c>
      <c r="B10" s="15" t="inlineStr">
        <is>
          <t>SARA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4" t="n">
        <v>312</v>
      </c>
      <c r="B11" s="15" t="inlineStr">
        <is>
          <t>CAMILA</t>
        </is>
      </c>
      <c r="C11" s="16" t="n">
        <v>0</v>
      </c>
      <c r="D11" s="16" t="n">
        <v>0</v>
      </c>
      <c r="E11" s="16" t="n">
        <v>0</v>
      </c>
      <c r="F11" s="16" t="n">
        <v>0</v>
      </c>
      <c r="G11" s="16" t="n">
        <v>0</v>
      </c>
      <c r="H11" s="16" t="n">
        <v>0</v>
      </c>
      <c r="I11" s="16" t="n">
        <v>0</v>
      </c>
      <c r="J11" s="17">
        <f>SUM(G11:I11)</f>
        <v/>
      </c>
    </row>
    <row r="12">
      <c r="A12" s="14" t="n">
        <v>212</v>
      </c>
      <c r="B12" s="15" t="inlineStr">
        <is>
          <t>NATI</t>
        </is>
      </c>
      <c r="C12" s="16" t="n">
        <v>0</v>
      </c>
      <c r="D12" s="16" t="n">
        <v>0</v>
      </c>
      <c r="E12" s="16" t="n">
        <v>0</v>
      </c>
      <c r="F12" s="16" t="n">
        <v>0</v>
      </c>
      <c r="G12" s="16" t="n">
        <v>0</v>
      </c>
      <c r="H12" s="16" t="n">
        <v>0</v>
      </c>
      <c r="I12" s="16" t="n">
        <v>0</v>
      </c>
      <c r="J12" s="17">
        <f>SUM(G12:I12)</f>
        <v/>
      </c>
    </row>
    <row r="13">
      <c r="A13" s="18" t="n"/>
      <c r="B13" s="19" t="inlineStr">
        <is>
          <t>TOTAL FUNCIONÁRIOS</t>
        </is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</row>
    <row r="15">
      <c r="A15" s="21" t="inlineStr">
        <is>
          <t>Códigos sem vínculo de folha nesta loja:</t>
        </is>
      </c>
      <c r="C15" s="22" t="inlineStr">
        <is>
          <t>Conferir também o código 43 (SARA) no relatório da loja Centro: o saldo dela vem para esta folha.</t>
        </is>
      </c>
    </row>
    <row r="17" ht="26" customHeight="1">
      <c r="A17" s="23" t="inlineStr">
        <is>
          <t>CONFERÊNCIA — total geral do relatório: venda bruta R$ 0,00 · descontos R$ 0,00 · venda líquida R$ 0,00 · comissão R$ 0,00 · incentivo R$ 0,00,</t>
        </is>
      </c>
    </row>
    <row r="18" ht="26" customHeight="1">
      <c r="A18" s="23" t="inlineStr">
        <is>
          <t>INCENT. APLIC. = incentivo do grupo INJETÁVEIS (aplicações). INCENT. VITAM. = grupo APLICAÇÃO E VITAMINAS INCENTIVO. OUTROS INCENT. = populares, oficinais e similar normal.</t>
        </is>
      </c>
    </row>
    <row r="19" ht="26" customHeight="1">
      <c r="A19" s="23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20" ht="26" customHeight="1">
      <c r="A20" s="23" t="inlineStr">
        <is>
          <t>A comissão desta aba é a APURADA pelo sistema, sem multiplicador. O valor que vai para a folha está na aba HOLERITE SET.26.</t>
        </is>
      </c>
    </row>
    <row r="21" ht="26" customHeight="1">
      <c r="A21" s="23" t="inlineStr">
        <is>
          <t>DEAN não recebe comissão em folha: no caso dele(a) a comissão apurada acima é apenas informativa.</t>
        </is>
      </c>
    </row>
  </sheetData>
  <autoFilter ref="A4:J12"/>
  <mergeCells count="7">
    <mergeCell ref="A1:J1"/>
    <mergeCell ref="A17:J17"/>
    <mergeCell ref="A18:J18"/>
    <mergeCell ref="A21:J21"/>
    <mergeCell ref="A20:J20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ARRAIAL · competência SETEMBRO/2026 (01/08 a 31/08/2026) · pagamento em 05/09/2026</t>
        </is>
      </c>
    </row>
    <row r="4" ht="20" customHeight="1">
      <c r="A4" s="24" t="inlineStr">
        <is>
          <t>RUBRICA</t>
        </is>
      </c>
      <c r="B4" s="25" t="inlineStr">
        <is>
          <t>DEAN</t>
        </is>
      </c>
      <c r="C4" s="25" t="inlineStr">
        <is>
          <t>AGNOR</t>
        </is>
      </c>
      <c r="D4" s="25" t="inlineStr">
        <is>
          <t>EDEY</t>
        </is>
      </c>
      <c r="E4" s="25" t="inlineStr">
        <is>
          <t>JOEL</t>
        </is>
      </c>
      <c r="F4" s="25" t="inlineStr">
        <is>
          <t>VALÉRIA</t>
        </is>
      </c>
      <c r="G4" s="25" t="inlineStr">
        <is>
          <t>SARA</t>
        </is>
      </c>
      <c r="H4" s="25" t="inlineStr">
        <is>
          <t>CAMILA</t>
        </is>
      </c>
      <c r="I4" s="25" t="inlineStr">
        <is>
          <t>NATI</t>
        </is>
      </c>
      <c r="J4" s="25" t="inlineStr">
        <is>
          <t>TOTAL</t>
        </is>
      </c>
      <c r="K4" s="24" t="inlineStr">
        <is>
          <t>ORIGEM / OBSERVAÇÃO</t>
        </is>
      </c>
    </row>
    <row r="5" ht="19" customHeight="1">
      <c r="A5" s="3" t="inlineStr">
        <is>
          <t>PROVENTOS</t>
        </is>
      </c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</row>
    <row r="6">
      <c r="A6" s="27" t="inlineStr">
        <is>
          <t>SALÁRIO BASE</t>
        </is>
      </c>
      <c r="B6" s="28" t="n">
        <v>5648.41</v>
      </c>
      <c r="C6" s="28" t="n">
        <v>1621</v>
      </c>
      <c r="D6" s="28" t="n">
        <v>1621</v>
      </c>
      <c r="E6" s="28" t="n">
        <v>1458.9</v>
      </c>
      <c r="F6" s="28" t="n">
        <v>1621</v>
      </c>
      <c r="G6" s="28" t="n">
        <v>1621</v>
      </c>
      <c r="H6" s="28" t="n">
        <v>1621</v>
      </c>
      <c r="I6" s="28" t="n">
        <v>1621</v>
      </c>
      <c r="J6" s="29">
        <f>SUM(B6:I6)</f>
        <v/>
      </c>
      <c r="K6" s="30" t="inlineStr">
        <is>
          <t>Piso 2026 R$ 1.621,00; gerente conforme ago/2026. CONFERIR admissões, afastamentos e férias do mês.</t>
        </is>
      </c>
    </row>
    <row r="7">
      <c r="A7" s="27" t="inlineStr">
        <is>
          <t>ADICIONAL NOTURNO</t>
        </is>
      </c>
      <c r="B7" s="31">
        <f>SUMIFS('PONTO SET.26'!$G$5:$G$14,'PONTO SET.26'!$A$5:$A$14,B$4,'PONTO SET.26'!$H$5:$H$14,"ADICIONAL NOTURNO")</f>
        <v/>
      </c>
      <c r="C7" s="31">
        <f>SUMIFS('PONTO SET.26'!$G$5:$G$14,'PONTO SET.26'!$A$5:$A$14,C$4,'PONTO SET.26'!$H$5:$H$14,"ADICIONAL NOTURNO")</f>
        <v/>
      </c>
      <c r="D7" s="31">
        <f>SUMIFS('PONTO SET.26'!$G$5:$G$14,'PONTO SET.26'!$A$5:$A$14,D$4,'PONTO SET.26'!$H$5:$H$14,"ADICIONAL NOTURNO")</f>
        <v/>
      </c>
      <c r="E7" s="31">
        <f>SUMIFS('PONTO SET.26'!$G$5:$G$14,'PONTO SET.26'!$A$5:$A$14,E$4,'PONTO SET.26'!$H$5:$H$14,"ADICIONAL NOTURNO")</f>
        <v/>
      </c>
      <c r="F7" s="31">
        <f>SUMIFS('PONTO SET.26'!$G$5:$G$14,'PONTO SET.26'!$A$5:$A$14,F$4,'PONTO SET.26'!$H$5:$H$14,"ADICIONAL NOTURNO")</f>
        <v/>
      </c>
      <c r="G7" s="31">
        <f>SUMIFS('PONTO SET.26'!$G$5:$G$14,'PONTO SET.26'!$A$5:$A$14,G$4,'PONTO SET.26'!$H$5:$H$14,"ADICIONAL NOTURNO")</f>
        <v/>
      </c>
      <c r="H7" s="31">
        <f>SUMIFS('PONTO SET.26'!$G$5:$G$14,'PONTO SET.26'!$A$5:$A$14,H$4,'PONTO SET.26'!$H$5:$H$14,"ADICIONAL NOTURNO")</f>
        <v/>
      </c>
      <c r="I7" s="31">
        <f>SUMIFS('PONTO SET.26'!$G$5:$G$14,'PONTO SET.26'!$A$5:$A$14,I$4,'PONTO SET.26'!$H$5:$H$14,"ADICIONAL NOTURNO")</f>
        <v/>
      </c>
      <c r="J7" s="20">
        <f>SUM(B7:I7)</f>
        <v/>
      </c>
      <c r="K7" s="30" t="inlineStr">
        <is>
          <t>Somado automaticamente da aba PONTO SET.26 (apontamento de setembro/2026). Para mudar, edite lá.</t>
        </is>
      </c>
    </row>
    <row r="8">
      <c r="A8" s="27" t="inlineStr">
        <is>
          <t>HORAS EXTRAS</t>
        </is>
      </c>
      <c r="B8" s="31">
        <f>SUMIFS('PONTO SET.26'!$G$5:$G$14,'PONTO SET.26'!$A$5:$A$14,B$4,'PONTO SET.26'!$H$5:$H$14,"HORAS EXTRAS")</f>
        <v/>
      </c>
      <c r="C8" s="31">
        <f>SUMIFS('PONTO SET.26'!$G$5:$G$14,'PONTO SET.26'!$A$5:$A$14,C$4,'PONTO SET.26'!$H$5:$H$14,"HORAS EXTRAS")</f>
        <v/>
      </c>
      <c r="D8" s="31">
        <f>SUMIFS('PONTO SET.26'!$G$5:$G$14,'PONTO SET.26'!$A$5:$A$14,D$4,'PONTO SET.26'!$H$5:$H$14,"HORAS EXTRAS")</f>
        <v/>
      </c>
      <c r="E8" s="31">
        <f>SUMIFS('PONTO SET.26'!$G$5:$G$14,'PONTO SET.26'!$A$5:$A$14,E$4,'PONTO SET.26'!$H$5:$H$14,"HORAS EXTRAS")</f>
        <v/>
      </c>
      <c r="F8" s="31">
        <f>SUMIFS('PONTO SET.26'!$G$5:$G$14,'PONTO SET.26'!$A$5:$A$14,F$4,'PONTO SET.26'!$H$5:$H$14,"HORAS EXTRAS")</f>
        <v/>
      </c>
      <c r="G8" s="31">
        <f>SUMIFS('PONTO SET.26'!$G$5:$G$14,'PONTO SET.26'!$A$5:$A$14,G$4,'PONTO SET.26'!$H$5:$H$14,"HORAS EXTRAS")</f>
        <v/>
      </c>
      <c r="H8" s="31">
        <f>SUMIFS('PONTO SET.26'!$G$5:$G$14,'PONTO SET.26'!$A$5:$A$14,H$4,'PONTO SET.26'!$H$5:$H$14,"HORAS EXTRAS")</f>
        <v/>
      </c>
      <c r="I8" s="31">
        <f>SUMIFS('PONTO SET.26'!$G$5:$G$14,'PONTO SET.26'!$A$5:$A$14,I$4,'PONTO SET.26'!$H$5:$H$14,"HORAS EXTRAS")</f>
        <v/>
      </c>
      <c r="J8" s="20">
        <f>SUM(B8:I8)</f>
        <v/>
      </c>
      <c r="K8" s="30" t="inlineStr">
        <is>
          <t>Somado automaticamente da aba PONTO SET.26 (apontamento de setembro/2026). Para mudar, edite lá.</t>
        </is>
      </c>
    </row>
    <row r="9">
      <c r="A9" s="27" t="inlineStr">
        <is>
          <t>COMISSÃO PRODUTOS (INOVAFARMA)</t>
        </is>
      </c>
      <c r="B9" s="31" t="n">
        <v>0</v>
      </c>
      <c r="C9" s="31">
        <f>ROUND('BASE INOVAFARMA SET.26'!F6*PARÂMETROS!$B$20,2)</f>
        <v/>
      </c>
      <c r="D9" s="31">
        <f>ROUND('BASE INOVAFARMA SET.26'!F7*PARÂMETROS!$B$20,2)</f>
        <v/>
      </c>
      <c r="E9" s="31">
        <f>ROUND('BASE INOVAFARMA SET.26'!F8*PARÂMETROS!$B$20,2)</f>
        <v/>
      </c>
      <c r="F9" s="31">
        <f>ROUND('BASE INOVAFARMA SET.26'!F9*PARÂMETROS!$B$20,2)</f>
        <v/>
      </c>
      <c r="G9" s="31">
        <f>ROUND('BASE INOVAFARMA SET.26'!F10*PARÂMETROS!$B$20,2)</f>
        <v/>
      </c>
      <c r="H9" s="31">
        <f>ROUND('BASE INOVAFARMA SET.26'!F11*PARÂMETROS!$B$20,2)</f>
        <v/>
      </c>
      <c r="I9" s="31">
        <f>ROUND('BASE INOVAFARMA SET.26'!F12*PARÂMETROS!$B$20,2)</f>
        <v/>
      </c>
      <c r="J9" s="20">
        <f>SUM(B9:I9)</f>
        <v/>
      </c>
      <c r="K9" s="30" t="inlineStr">
        <is>
          <t>Apurado no InovaFarma (aba BASE INOVAFARMA SET.26). DEAN não recebe(m) comissão — lançado zero.</t>
        </is>
      </c>
    </row>
    <row r="10">
      <c r="A10" s="27" t="inlineStr">
        <is>
          <t>COMPLEMENTO / COMISSÃO PDV</t>
        </is>
      </c>
      <c r="B10" s="28" t="n"/>
      <c r="C10" s="28">
        <f>ROUND(MAX(0,2000.0-C9),2)</f>
        <v/>
      </c>
      <c r="D10" s="28" t="n"/>
      <c r="E10" s="28" t="n"/>
      <c r="F10" s="28" t="n"/>
      <c r="G10" s="28" t="n"/>
      <c r="H10" s="28" t="n"/>
      <c r="I10" s="28" t="n"/>
      <c r="J10" s="29">
        <f>SUM(B10:I10)</f>
        <v/>
      </c>
      <c r="K10" s="30" t="inlineStr">
        <is>
          <t>PREENCHER: PDV antigos e complementos de comissão acordados, se houver. AGNOR: complemento até a comissão fixa de R$ 2.000,00,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SUM(H9:H10)</f>
        <v/>
      </c>
      <c r="I11" s="20">
        <f>SUM(I9:I10)</f>
        <v/>
      </c>
      <c r="J11" s="20">
        <f>SUM(B11:I11)</f>
        <v/>
      </c>
      <c r="K11" s="30" t="inlineStr">
        <is>
          <t>Base do DSR junto com as horas extras.</t>
        </is>
      </c>
    </row>
    <row r="12">
      <c r="A12" s="27" t="inlineStr">
        <is>
          <t>REPOUSO REMUNERADO / DSR</t>
        </is>
      </c>
      <c r="B12" s="32">
        <f>ROUND((B11+B8)*PARÂMETROS!$B$12,2)</f>
        <v/>
      </c>
      <c r="C12" s="32">
        <f>ROUND((C11+C8)*PARÂMETROS!$B$12,2)</f>
        <v/>
      </c>
      <c r="D12" s="32">
        <f>ROUND((D11+D8)*PARÂMETROS!$B$12,2)</f>
        <v/>
      </c>
      <c r="E12" s="32">
        <f>ROUND((E11+E8)*PARÂMETROS!$B$12,2)</f>
        <v/>
      </c>
      <c r="F12" s="32">
        <f>ROUND((F11+F8)*PARÂMETROS!$B$12,2)</f>
        <v/>
      </c>
      <c r="G12" s="32">
        <f>ROUND((G11+G8)*PARÂMETROS!$B$12,2)</f>
        <v/>
      </c>
      <c r="H12" s="32">
        <f>ROUND((H11+H8)*PARÂMETROS!$B$12,2)</f>
        <v/>
      </c>
      <c r="I12" s="32">
        <f>ROUND((I11+I8)*PARÂMETROS!$B$12,2)</f>
        <v/>
      </c>
      <c r="J12" s="20">
        <f>SUM(B12:I12)</f>
        <v/>
      </c>
      <c r="K12" s="30" t="inlineStr">
        <is>
          <t>Cálculo: (comissão total + horas extras) × (4 domingos + feriado 07/09) ÷ 25 dias úteis de setembro/2026.</t>
        </is>
      </c>
    </row>
    <row r="13">
      <c r="A13" s="27" t="inlineStr">
        <is>
          <t>AUXÍLIO GERÊNCIA</t>
        </is>
      </c>
      <c r="B13" s="33" t="n"/>
      <c r="C13" s="33" t="n">
        <v>810.5</v>
      </c>
      <c r="D13" s="33" t="n"/>
      <c r="E13" s="33" t="n"/>
      <c r="F13" s="33" t="n"/>
      <c r="G13" s="33" t="n">
        <v>810.5</v>
      </c>
      <c r="H13" s="33" t="n"/>
      <c r="I13" s="33" t="n"/>
      <c r="J13" s="20">
        <f>SUM(B13:I13)</f>
        <v/>
      </c>
      <c r="K13" s="30" t="inlineStr">
        <is>
          <t>Conforme acordo da loja.</t>
        </is>
      </c>
    </row>
    <row r="14">
      <c r="A14" s="27" t="inlineStr">
        <is>
          <t>ADICIONAL PRÊMIO META CAIXA</t>
        </is>
      </c>
      <c r="B14" s="33" t="n"/>
      <c r="C14" s="33" t="n"/>
      <c r="D14" s="33" t="n"/>
      <c r="E14" s="33" t="n"/>
      <c r="F14" s="33" t="n">
        <v>307.99</v>
      </c>
      <c r="G14" s="33" t="n"/>
      <c r="H14" s="33" t="n"/>
      <c r="I14" s="33" t="n">
        <v>307.99</v>
      </c>
      <c r="J14" s="20">
        <f>SUM(B14:I14)</f>
        <v/>
      </c>
      <c r="K14" s="30" t="inlineStr">
        <is>
          <t>Conforme apuração do caixa.</t>
        </is>
      </c>
    </row>
    <row r="15">
      <c r="A15" s="27" t="inlineStr">
        <is>
          <t>PRÊMIO COTA GERAL</t>
        </is>
      </c>
      <c r="B15" s="33" t="n"/>
      <c r="C15" s="33" t="n"/>
      <c r="D15" s="33" t="n"/>
      <c r="E15" s="33" t="n"/>
      <c r="F15" s="33" t="n"/>
      <c r="G15" s="33" t="n"/>
      <c r="H15" s="33" t="n"/>
      <c r="I15" s="33" t="n"/>
      <c r="J15" s="20">
        <f>SUM(B15:I15)</f>
        <v/>
      </c>
      <c r="K15" s="30" t="inlineStr">
        <is>
          <t>PREENCHER conforme a tabela de metas da loja (aba METAS da planilha original).</t>
        </is>
      </c>
    </row>
    <row r="16">
      <c r="A16" s="27" t="inlineStr">
        <is>
          <t>PRÊMIO PRÉ-VENCIDOS</t>
        </is>
      </c>
      <c r="B16" s="33" t="n"/>
      <c r="C16" s="33" t="n"/>
      <c r="D16" s="33" t="n"/>
      <c r="E16" s="33" t="n"/>
      <c r="F16" s="33" t="n"/>
      <c r="G16" s="33" t="n"/>
      <c r="H16" s="33" t="n"/>
      <c r="I16" s="33" t="n"/>
      <c r="J16" s="20">
        <f>SUM(B16:I16)</f>
        <v/>
      </c>
      <c r="K16" s="30" t="inlineStr">
        <is>
          <t>PREENCHER conforme a apuração de pré-vencidos de setembro.</t>
        </is>
      </c>
    </row>
    <row r="17">
      <c r="A17" s="27" t="inlineStr">
        <is>
          <t>FÉRIAS (DIAS GOZADOS)</t>
        </is>
      </c>
      <c r="B17" s="33" t="n"/>
      <c r="C17" s="33" t="n"/>
      <c r="D17" s="33" t="n"/>
      <c r="E17" s="33" t="n"/>
      <c r="F17" s="33" t="n"/>
      <c r="G17" s="33" t="n"/>
      <c r="H17" s="33" t="n"/>
      <c r="I17" s="33" t="n"/>
      <c r="J17" s="20">
        <f>SUM(B17:I17)</f>
        <v/>
      </c>
      <c r="K17" s="30" t="inlineStr">
        <is>
          <t>PREENCHER se houve férias no mês; informar o período.</t>
        </is>
      </c>
    </row>
    <row r="18">
      <c r="A18" s="27" t="inlineStr">
        <is>
          <t>1/3 CONSTITUCIONAL DE FÉRIAS</t>
        </is>
      </c>
      <c r="B18" s="33" t="n"/>
      <c r="C18" s="33" t="n"/>
      <c r="D18" s="33" t="n"/>
      <c r="E18" s="33" t="n"/>
      <c r="F18" s="33" t="n"/>
      <c r="G18" s="33" t="n"/>
      <c r="H18" s="33" t="n"/>
      <c r="I18" s="33" t="n"/>
      <c r="J18" s="20">
        <f>SUM(B18:I18)</f>
        <v/>
      </c>
      <c r="K18" s="30" t="inlineStr">
        <is>
          <t>Calculado pela contabilidade sobre o valor das férias.</t>
        </is>
      </c>
    </row>
    <row r="19">
      <c r="A19" s="27" t="inlineStr">
        <is>
          <t>INCENTIVO APLICAÇÕES</t>
        </is>
      </c>
      <c r="B19" s="31">
        <f>'BASE INOVAFARMA SET.26'!G5</f>
        <v/>
      </c>
      <c r="C19" s="31">
        <f>'BASE INOVAFARMA SET.26'!G6</f>
        <v/>
      </c>
      <c r="D19" s="31">
        <f>'BASE INOVAFARMA SET.26'!G7</f>
        <v/>
      </c>
      <c r="E19" s="31">
        <f>'BASE INOVAFARMA SET.26'!G8</f>
        <v/>
      </c>
      <c r="F19" s="31">
        <f>'BASE INOVAFARMA SET.26'!G9</f>
        <v/>
      </c>
      <c r="G19" s="31">
        <f>'BASE INOVAFARMA SET.26'!G10</f>
        <v/>
      </c>
      <c r="H19" s="31">
        <f>'BASE INOVAFARMA SET.26'!G11</f>
        <v/>
      </c>
      <c r="I19" s="31">
        <f>'BASE INOVAFARMA SET.26'!G12</f>
        <v/>
      </c>
      <c r="J19" s="20">
        <f>SUM(B19:I19)</f>
        <v/>
      </c>
      <c r="K19" s="30" t="inlineStr">
        <is>
          <t>Incentivo de injetáveis apurado no InovaFarma.</t>
        </is>
      </c>
    </row>
    <row r="20">
      <c r="A20" s="27" t="inlineStr">
        <is>
          <t>INCENTIVO VITAMINAS</t>
        </is>
      </c>
      <c r="B20" s="31">
        <f>'BASE INOVAFARMA SET.26'!H5</f>
        <v/>
      </c>
      <c r="C20" s="31">
        <f>'BASE INOVAFARMA SET.26'!H6</f>
        <v/>
      </c>
      <c r="D20" s="31">
        <f>'BASE INOVAFARMA SET.26'!H7</f>
        <v/>
      </c>
      <c r="E20" s="31">
        <f>'BASE INOVAFARMA SET.26'!H8</f>
        <v/>
      </c>
      <c r="F20" s="31">
        <f>'BASE INOVAFARMA SET.26'!H9</f>
        <v/>
      </c>
      <c r="G20" s="31">
        <f>'BASE INOVAFARMA SET.26'!H10</f>
        <v/>
      </c>
      <c r="H20" s="31">
        <f>'BASE INOVAFARMA SET.26'!H11</f>
        <v/>
      </c>
      <c r="I20" s="31">
        <f>'BASE INOVAFARMA SET.26'!H12</f>
        <v/>
      </c>
      <c r="J20" s="20">
        <f>SUM(B20:I20)</f>
        <v/>
      </c>
      <c r="K20" s="30" t="inlineStr">
        <is>
          <t>Grupo APLICAÇÃO E VITAMINAS INCENTIVO no InovaFarma.</t>
        </is>
      </c>
    </row>
    <row r="21">
      <c r="A21" s="27" t="inlineStr">
        <is>
          <t>OUTROS INCENTIVOS</t>
        </is>
      </c>
      <c r="B21" s="31">
        <f>'BASE INOVAFARMA SET.26'!I5</f>
        <v/>
      </c>
      <c r="C21" s="31">
        <f>'BASE INOVAFARMA SET.26'!I6</f>
        <v/>
      </c>
      <c r="D21" s="31">
        <f>'BASE INOVAFARMA SET.26'!I7</f>
        <v/>
      </c>
      <c r="E21" s="31">
        <f>'BASE INOVAFARMA SET.26'!I8</f>
        <v/>
      </c>
      <c r="F21" s="31">
        <f>'BASE INOVAFARMA SET.26'!I9</f>
        <v/>
      </c>
      <c r="G21" s="31">
        <f>'BASE INOVAFARMA SET.26'!I10</f>
        <v/>
      </c>
      <c r="H21" s="31">
        <f>'BASE INOVAFARMA SET.26'!I11</f>
        <v/>
      </c>
      <c r="I21" s="31">
        <f>'BASE INOVAFARMA SET.26'!I12</f>
        <v/>
      </c>
      <c r="J21" s="20">
        <f>SUM(B21:I21)</f>
        <v/>
      </c>
      <c r="K21" s="30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SUM(H6:H21)-H9-H10</f>
        <v/>
      </c>
      <c r="I22" s="20">
        <f>SUM(I6:I21)-I9-I10</f>
        <v/>
      </c>
      <c r="J22" s="20">
        <f>SUM(B22:I22)</f>
        <v/>
      </c>
      <c r="K22" s="30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</row>
    <row r="24">
      <c r="A24" s="27" t="inlineStr">
        <is>
          <t>ADIANTAMENTO SALARIAL / VALES</t>
        </is>
      </c>
      <c r="B24" s="33" t="n"/>
      <c r="C24" s="33" t="n"/>
      <c r="D24" s="33" t="n"/>
      <c r="E24" s="33" t="n"/>
      <c r="F24" s="33" t="n"/>
      <c r="G24" s="33" t="n"/>
      <c r="H24" s="33" t="n"/>
      <c r="I24" s="33" t="n"/>
      <c r="J24" s="20">
        <f>SUM(B24:I24)</f>
        <v/>
      </c>
      <c r="K24" s="30" t="inlineStr">
        <is>
          <t>PREENCHER com os vales adiantados durante setembro.</t>
        </is>
      </c>
    </row>
    <row r="25">
      <c r="A25" s="27" t="inlineStr">
        <is>
          <t>ADIANT. VALES INCENT. E APLIC.</t>
        </is>
      </c>
      <c r="B25" s="34">
        <f>-(B19+B20+B21)</f>
        <v/>
      </c>
      <c r="C25" s="34">
        <f>-(C19+C20+C21)</f>
        <v/>
      </c>
      <c r="D25" s="34">
        <f>-(D19+D20+D21)</f>
        <v/>
      </c>
      <c r="E25" s="34">
        <f>-(E19+E20+E21)</f>
        <v/>
      </c>
      <c r="F25" s="34">
        <f>-(F19+F20+F21)</f>
        <v/>
      </c>
      <c r="G25" s="34">
        <f>-(G19+G20+G21)</f>
        <v/>
      </c>
      <c r="H25" s="34">
        <f>-(H19+H20+H21)</f>
        <v/>
      </c>
      <c r="I25" s="34">
        <f>-(I19+I20+I21)</f>
        <v/>
      </c>
      <c r="J25" s="29">
        <f>SUM(B25:I25)</f>
        <v/>
      </c>
      <c r="K25" s="30" t="inlineStr">
        <is>
          <t>Estorno dos incentivos já adiantados em dinheiro no mês. AJUSTAR se algum incentivo não foi adiantado.</t>
        </is>
      </c>
    </row>
    <row r="26">
      <c r="A26" s="27" t="inlineStr">
        <is>
          <t>CONVÊNIO</t>
        </is>
      </c>
      <c r="B26" s="33" t="n"/>
      <c r="C26" s="33" t="n"/>
      <c r="D26" s="33" t="n"/>
      <c r="E26" s="33" t="n"/>
      <c r="F26" s="33" t="n"/>
      <c r="G26" s="33" t="n"/>
      <c r="H26" s="33" t="n"/>
      <c r="I26" s="33" t="n"/>
      <c r="J26" s="20">
        <f>SUM(B26:I26)</f>
        <v/>
      </c>
      <c r="K26" s="30" t="inlineStr">
        <is>
          <t>PREENCHER conforme o convênio de setembro.</t>
        </is>
      </c>
    </row>
    <row r="27">
      <c r="A27" s="27" t="inlineStr">
        <is>
          <t>DESCONTO FALTAS / ATRASOS</t>
        </is>
      </c>
      <c r="B27" s="33" t="n"/>
      <c r="C27" s="33" t="n"/>
      <c r="D27" s="33" t="n"/>
      <c r="E27" s="33" t="n"/>
      <c r="F27" s="33" t="n"/>
      <c r="G27" s="33" t="n"/>
      <c r="H27" s="33" t="n"/>
      <c r="I27" s="33" t="n"/>
      <c r="J27" s="20">
        <f>SUM(B27:I27)</f>
        <v/>
      </c>
      <c r="K27" s="30" t="inlineStr">
        <is>
          <t>PREENCHER conforme o ponto.</t>
        </is>
      </c>
    </row>
    <row r="28">
      <c r="A28" s="27" t="inlineStr">
        <is>
          <t>DESCONTO VALE TRANSPORTE 6%</t>
        </is>
      </c>
      <c r="B28" s="28" t="n"/>
      <c r="C28" s="28" t="n"/>
      <c r="D28" s="28" t="n">
        <v>-84.29000000000001</v>
      </c>
      <c r="E28" s="28" t="n">
        <v>-84.29000000000001</v>
      </c>
      <c r="F28" s="28" t="n">
        <v>-84.29000000000001</v>
      </c>
      <c r="G28" s="28" t="n"/>
      <c r="H28" s="28" t="n"/>
      <c r="I28" s="28" t="n">
        <v>-84.29000000000001</v>
      </c>
      <c r="J28" s="29">
        <f>SUM(B28:I28)</f>
        <v/>
      </c>
      <c r="K28" s="30" t="inlineStr">
        <is>
          <t>Valores praticados em ago/26. 6% sobre R$ 1.621,00 seria R$ 97,26 — CONFERIR a base usada.</t>
        </is>
      </c>
    </row>
    <row r="29">
      <c r="A29" s="27" t="inlineStr">
        <is>
          <t>DESCONTO INSS</t>
        </is>
      </c>
      <c r="B29" s="33" t="n"/>
      <c r="C29" s="33" t="n"/>
      <c r="D29" s="33" t="n"/>
      <c r="E29" s="33" t="n"/>
      <c r="F29" s="33" t="n"/>
      <c r="G29" s="33" t="n"/>
      <c r="H29" s="33" t="n"/>
      <c r="I29" s="33" t="n"/>
      <c r="J29" s="20">
        <f>SUM(B29:I29)</f>
        <v/>
      </c>
      <c r="K29" s="30" t="inlineStr">
        <is>
          <t>A CALCULAR PELA CONTABILIDADE sobre o total de proventos.</t>
        </is>
      </c>
    </row>
    <row r="30">
      <c r="A30" s="27" t="inlineStr">
        <is>
          <t>DESCONTO IRRF</t>
        </is>
      </c>
      <c r="B30" s="33" t="n"/>
      <c r="C30" s="33" t="n"/>
      <c r="D30" s="33" t="n"/>
      <c r="E30" s="33" t="n"/>
      <c r="F30" s="33" t="n"/>
      <c r="G30" s="33" t="n"/>
      <c r="H30" s="33" t="n"/>
      <c r="I30" s="33" t="n"/>
      <c r="J30" s="20">
        <f>SUM(B30:I30)</f>
        <v/>
      </c>
      <c r="K30" s="30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SUM(H24:H30)</f>
        <v/>
      </c>
      <c r="I31" s="20">
        <f>SUM(I24:I30)</f>
        <v/>
      </c>
      <c r="J31" s="20">
        <f>SUM(B31:I31)</f>
        <v/>
      </c>
      <c r="K31" s="30" t="inlineStr"/>
    </row>
    <row r="32" ht="19" customHeight="1">
      <c r="A32" s="3" t="inlineStr">
        <is>
          <t>LÍQUIDO</t>
        </is>
      </c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</row>
    <row r="33">
      <c r="A33" s="15" t="inlineStr">
        <is>
          <t>LÍQUIDO A RECEBER (05/10/2026)</t>
        </is>
      </c>
      <c r="B33" s="35">
        <f>B22+B31</f>
        <v/>
      </c>
      <c r="C33" s="35">
        <f>C22+C31</f>
        <v/>
      </c>
      <c r="D33" s="35">
        <f>D22+D31</f>
        <v/>
      </c>
      <c r="E33" s="35">
        <f>E22+E31</f>
        <v/>
      </c>
      <c r="F33" s="35">
        <f>F22+F31</f>
        <v/>
      </c>
      <c r="G33" s="35">
        <f>G22+G31</f>
        <v/>
      </c>
      <c r="H33" s="35">
        <f>H22+H31</f>
        <v/>
      </c>
      <c r="I33" s="35">
        <f>I22+I31</f>
        <v/>
      </c>
      <c r="J33" s="35">
        <f>SUM(B33:I33)</f>
        <v/>
      </c>
      <c r="K33" s="30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</row>
    <row r="35">
      <c r="A35" s="27" t="inlineStr">
        <is>
          <t>VALE TRANSPORTE (compra out/26)</t>
        </is>
      </c>
      <c r="B35" s="33" t="n"/>
      <c r="C35" s="33" t="n"/>
      <c r="D35" s="33" t="n"/>
      <c r="E35" s="33" t="n"/>
      <c r="F35" s="33" t="n"/>
      <c r="G35" s="33" t="n"/>
      <c r="H35" s="33" t="n"/>
      <c r="I35" s="33" t="n"/>
      <c r="J35" s="20">
        <f>SUM(B35:I35)</f>
        <v/>
      </c>
      <c r="K35" s="30" t="inlineStr">
        <is>
          <t>PREENCHER com as passagens compradas para outubro/2026.</t>
        </is>
      </c>
    </row>
    <row r="36">
      <c r="A36" s="27" t="inlineStr">
        <is>
          <t>VALE ALIMENTAÇÃO FERIADOS E DOMINGOS</t>
        </is>
      </c>
      <c r="B36" s="33" t="n"/>
      <c r="C36" s="33" t="n"/>
      <c r="D36" s="33" t="n"/>
      <c r="E36" s="33" t="n"/>
      <c r="F36" s="33" t="n"/>
      <c r="G36" s="33" t="n"/>
      <c r="H36" s="33" t="n"/>
      <c r="I36" s="33" t="n"/>
      <c r="J36" s="20">
        <f>SUM(B36:I36)</f>
        <v/>
      </c>
      <c r="K36" s="30" t="inlineStr">
        <is>
          <t>PREENCHER conforme escala de domingos e feriados.</t>
        </is>
      </c>
    </row>
    <row r="37">
      <c r="A37" s="27" t="inlineStr">
        <is>
          <t>FÉRIAS PAGAS À PARTE (CONTAS A PAGAR)</t>
        </is>
      </c>
      <c r="B37" s="28" t="n"/>
      <c r="C37" s="28" t="n"/>
      <c r="D37" s="28" t="n"/>
      <c r="E37" s="28" t="n"/>
      <c r="F37" s="28" t="n"/>
      <c r="G37" s="28" t="n"/>
      <c r="H37" s="28" t="n"/>
      <c r="I37" s="28" t="n"/>
      <c r="J37" s="29">
        <f>SUM(B37:I37)</f>
        <v/>
      </c>
      <c r="K37" s="30" t="inlineStr">
        <is>
          <t>Recibo de férias pago fora do holerite — lembrete para o contas a pagar. Preencher se houve férias no mês.</t>
        </is>
      </c>
    </row>
    <row r="39">
      <c r="A39" s="21" t="inlineStr">
        <is>
          <t>LEGENDA</t>
        </is>
      </c>
      <c r="B39" s="22" t="inlineStr"/>
    </row>
    <row r="40">
      <c r="A40" s="21" t="inlineStr">
        <is>
          <t>Célula amarela, texto azul</t>
        </is>
      </c>
      <c r="B40" s="22" t="inlineStr">
        <is>
          <t>valor digitado — PREENCHER ou conferir antes de enviar.</t>
        </is>
      </c>
    </row>
    <row r="41">
      <c r="A41" s="21" t="inlineStr">
        <is>
          <t>Célula laranja</t>
        </is>
      </c>
      <c r="B41" s="22" t="inlineStr">
        <is>
          <t>valor repetido de agosto/2026 — CONFERIR se continua válido em setembro.</t>
        </is>
      </c>
    </row>
    <row r="42">
      <c r="A42" s="21" t="inlineStr">
        <is>
          <t>Texto verde</t>
        </is>
      </c>
      <c r="B42" s="22" t="inlineStr">
        <is>
          <t>valor puxado da aba BASE INOVAFARMA SET.26 (não digitar por cima).</t>
        </is>
      </c>
    </row>
    <row r="43">
      <c r="A43" s="21" t="inlineStr">
        <is>
          <t>Texto preto em célula verde</t>
        </is>
      </c>
      <c r="B43" s="22" t="inlineStr">
        <is>
          <t>resultado de fórmula — não alterar.</t>
        </is>
      </c>
    </row>
  </sheetData>
  <autoFilter ref="A4:K37"/>
  <mergeCells count="7">
    <mergeCell ref="B41:K41"/>
    <mergeCell ref="B40:K40"/>
    <mergeCell ref="A2:K2"/>
    <mergeCell ref="B43:K43"/>
    <mergeCell ref="B39:K39"/>
    <mergeCell ref="B42:K4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ARRAIAL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24" t="inlineStr">
        <is>
          <t>FUNCIONÁRIO</t>
        </is>
      </c>
      <c r="B4" s="24" t="inlineStr">
        <is>
          <t>RUBRICA</t>
        </is>
      </c>
      <c r="C4" s="24" t="inlineStr">
        <is>
          <t>TIPO</t>
        </is>
      </c>
      <c r="D4" s="24" t="inlineStr">
        <is>
          <t>VALOR</t>
        </is>
      </c>
      <c r="E4" s="24" t="inlineStr">
        <is>
          <t>OBSERVAÇÃO</t>
        </is>
      </c>
    </row>
    <row r="5">
      <c r="A5" s="27" t="inlineStr">
        <is>
          <t>DEAN</t>
        </is>
      </c>
      <c r="B5" s="27" t="inlineStr">
        <is>
          <t>SALÁRIO BASE</t>
        </is>
      </c>
      <c r="C5" s="27" t="inlineStr">
        <is>
          <t>Provento</t>
        </is>
      </c>
      <c r="D5" s="31">
        <f>'HOLERITE SET.26'!B6</f>
        <v/>
      </c>
      <c r="E5" s="36" t="n"/>
    </row>
    <row r="6">
      <c r="A6" s="27" t="inlineStr">
        <is>
          <t>DEAN</t>
        </is>
      </c>
      <c r="B6" s="27" t="inlineStr">
        <is>
          <t>ADICIONAL NOTURNO</t>
        </is>
      </c>
      <c r="C6" s="27" t="inlineStr">
        <is>
          <t>Provento</t>
        </is>
      </c>
      <c r="D6" s="31">
        <f>'HOLERITE SET.26'!B7</f>
        <v/>
      </c>
      <c r="E6" s="36" t="n"/>
    </row>
    <row r="7">
      <c r="A7" s="27" t="inlineStr">
        <is>
          <t>DEAN</t>
        </is>
      </c>
      <c r="B7" s="27" t="inlineStr">
        <is>
          <t>HORAS EXTRAS</t>
        </is>
      </c>
      <c r="C7" s="27" t="inlineStr">
        <is>
          <t>Provento</t>
        </is>
      </c>
      <c r="D7" s="31">
        <f>'HOLERITE SET.26'!B8</f>
        <v/>
      </c>
      <c r="E7" s="36" t="n"/>
    </row>
    <row r="8">
      <c r="A8" s="27" t="inlineStr">
        <is>
          <t>DEAN</t>
        </is>
      </c>
      <c r="B8" s="27" t="inlineStr">
        <is>
          <t>COMISSÃO SOBRE VENDAS</t>
        </is>
      </c>
      <c r="C8" s="27" t="inlineStr">
        <is>
          <t>Provento</t>
        </is>
      </c>
      <c r="D8" s="31">
        <f>'HOLERITE SET.26'!B11</f>
        <v/>
      </c>
      <c r="E8" s="36" t="n"/>
    </row>
    <row r="9">
      <c r="A9" s="27" t="inlineStr">
        <is>
          <t>DEAN</t>
        </is>
      </c>
      <c r="B9" s="27" t="inlineStr">
        <is>
          <t>REPOUSO REMUNERADO / DSR</t>
        </is>
      </c>
      <c r="C9" s="27" t="inlineStr">
        <is>
          <t>Provento</t>
        </is>
      </c>
      <c r="D9" s="31">
        <f>'HOLERITE SET.26'!B12</f>
        <v/>
      </c>
      <c r="E9" s="36" t="n"/>
    </row>
    <row r="10">
      <c r="A10" s="27" t="inlineStr">
        <is>
          <t>DEAN</t>
        </is>
      </c>
      <c r="B10" s="27" t="inlineStr">
        <is>
          <t>AUXÍLIO GERÊNCIA</t>
        </is>
      </c>
      <c r="C10" s="27" t="inlineStr">
        <is>
          <t>Provento</t>
        </is>
      </c>
      <c r="D10" s="31">
        <f>'HOLERITE SET.26'!B13</f>
        <v/>
      </c>
      <c r="E10" s="36" t="n"/>
    </row>
    <row r="11">
      <c r="A11" s="27" t="inlineStr">
        <is>
          <t>DEAN</t>
        </is>
      </c>
      <c r="B11" s="27" t="inlineStr">
        <is>
          <t>ADICIONAL PRÊMIO META CAIXA</t>
        </is>
      </c>
      <c r="C11" s="27" t="inlineStr">
        <is>
          <t>Provento</t>
        </is>
      </c>
      <c r="D11" s="31">
        <f>'HOLERITE SET.26'!B14</f>
        <v/>
      </c>
      <c r="E11" s="36" t="n"/>
    </row>
    <row r="12">
      <c r="A12" s="27" t="inlineStr">
        <is>
          <t>DEAN</t>
        </is>
      </c>
      <c r="B12" s="27" t="inlineStr">
        <is>
          <t>PRÊMIO COTA GERAL</t>
        </is>
      </c>
      <c r="C12" s="27" t="inlineStr">
        <is>
          <t>Provento</t>
        </is>
      </c>
      <c r="D12" s="31">
        <f>'HOLERITE SET.26'!B15</f>
        <v/>
      </c>
      <c r="E12" s="36" t="n"/>
    </row>
    <row r="13">
      <c r="A13" s="27" t="inlineStr">
        <is>
          <t>DEAN</t>
        </is>
      </c>
      <c r="B13" s="27" t="inlineStr">
        <is>
          <t>PRÊMIO PRÉ-VENCIDOS</t>
        </is>
      </c>
      <c r="C13" s="27" t="inlineStr">
        <is>
          <t>Provento</t>
        </is>
      </c>
      <c r="D13" s="31">
        <f>'HOLERITE SET.26'!B16</f>
        <v/>
      </c>
      <c r="E13" s="36" t="n"/>
    </row>
    <row r="14">
      <c r="A14" s="27" t="inlineStr">
        <is>
          <t>DEAN</t>
        </is>
      </c>
      <c r="B14" s="27" t="inlineStr">
        <is>
          <t>FÉRIAS</t>
        </is>
      </c>
      <c r="C14" s="27" t="inlineStr">
        <is>
          <t>Provento</t>
        </is>
      </c>
      <c r="D14" s="31">
        <f>'HOLERITE SET.26'!B17</f>
        <v/>
      </c>
      <c r="E14" s="36" t="n"/>
    </row>
    <row r="15">
      <c r="A15" s="27" t="inlineStr">
        <is>
          <t>DEAN</t>
        </is>
      </c>
      <c r="B15" s="27" t="inlineStr">
        <is>
          <t>1/3 CONSTITUCIONAL DE FÉRIAS</t>
        </is>
      </c>
      <c r="C15" s="27" t="inlineStr">
        <is>
          <t>Provento</t>
        </is>
      </c>
      <c r="D15" s="31">
        <f>'HOLERITE SET.26'!B18</f>
        <v/>
      </c>
      <c r="E15" s="36" t="n"/>
    </row>
    <row r="16">
      <c r="A16" s="27" t="inlineStr">
        <is>
          <t>DEAN</t>
        </is>
      </c>
      <c r="B16" s="27" t="inlineStr">
        <is>
          <t>INCENTIVO APLICAÇÕES</t>
        </is>
      </c>
      <c r="C16" s="27" t="inlineStr">
        <is>
          <t>Provento</t>
        </is>
      </c>
      <c r="D16" s="31">
        <f>'HOLERITE SET.26'!B19</f>
        <v/>
      </c>
      <c r="E16" s="36" t="n"/>
    </row>
    <row r="17">
      <c r="A17" s="27" t="inlineStr">
        <is>
          <t>DEAN</t>
        </is>
      </c>
      <c r="B17" s="27" t="inlineStr">
        <is>
          <t>INCENTIVO VITAMINAS</t>
        </is>
      </c>
      <c r="C17" s="27" t="inlineStr">
        <is>
          <t>Provento</t>
        </is>
      </c>
      <c r="D17" s="31">
        <f>'HOLERITE SET.26'!B20</f>
        <v/>
      </c>
      <c r="E17" s="36" t="n"/>
    </row>
    <row r="18">
      <c r="A18" s="27" t="inlineStr">
        <is>
          <t>DEAN</t>
        </is>
      </c>
      <c r="B18" s="27" t="inlineStr">
        <is>
          <t>OUTROS INCENTIVOS</t>
        </is>
      </c>
      <c r="C18" s="27" t="inlineStr">
        <is>
          <t>Provento</t>
        </is>
      </c>
      <c r="D18" s="31">
        <f>'HOLERITE SET.26'!B21</f>
        <v/>
      </c>
      <c r="E18" s="36" t="n"/>
    </row>
    <row r="19">
      <c r="A19" s="37" t="inlineStr">
        <is>
          <t>DEAN</t>
        </is>
      </c>
      <c r="B19" s="37" t="inlineStr">
        <is>
          <t>TOTAL DE PROVENTOS</t>
        </is>
      </c>
      <c r="C19" s="37" t="inlineStr">
        <is>
          <t>Subtotal</t>
        </is>
      </c>
      <c r="D19" s="38">
        <f>'HOLERITE SET.26'!B22</f>
        <v/>
      </c>
      <c r="E19" s="18" t="n"/>
    </row>
    <row r="20">
      <c r="A20" s="27" t="inlineStr">
        <is>
          <t>DEAN</t>
        </is>
      </c>
      <c r="B20" s="27" t="inlineStr">
        <is>
          <t>ADIANTAMENTO SALARIAL / VALES</t>
        </is>
      </c>
      <c r="C20" s="27" t="inlineStr">
        <is>
          <t>Desconto</t>
        </is>
      </c>
      <c r="D20" s="31">
        <f>'HOLERITE SET.26'!B24</f>
        <v/>
      </c>
      <c r="E20" s="36" t="n"/>
    </row>
    <row r="21">
      <c r="A21" s="27" t="inlineStr">
        <is>
          <t>DEAN</t>
        </is>
      </c>
      <c r="B21" s="27" t="inlineStr">
        <is>
          <t>ADIANT. VALES INCENT. E APLIC.</t>
        </is>
      </c>
      <c r="C21" s="27" t="inlineStr">
        <is>
          <t>Desconto</t>
        </is>
      </c>
      <c r="D21" s="31">
        <f>'HOLERITE SET.26'!B25</f>
        <v/>
      </c>
      <c r="E21" s="36" t="n"/>
    </row>
    <row r="22">
      <c r="A22" s="27" t="inlineStr">
        <is>
          <t>DEAN</t>
        </is>
      </c>
      <c r="B22" s="27" t="inlineStr">
        <is>
          <t>CONVÊNIO</t>
        </is>
      </c>
      <c r="C22" s="27" t="inlineStr">
        <is>
          <t>Desconto</t>
        </is>
      </c>
      <c r="D22" s="31">
        <f>'HOLERITE SET.26'!B26</f>
        <v/>
      </c>
      <c r="E22" s="36" t="n"/>
    </row>
    <row r="23">
      <c r="A23" s="27" t="inlineStr">
        <is>
          <t>DEAN</t>
        </is>
      </c>
      <c r="B23" s="27" t="inlineStr">
        <is>
          <t>DESCONTO FALTAS / ATRASOS</t>
        </is>
      </c>
      <c r="C23" s="27" t="inlineStr">
        <is>
          <t>Desconto</t>
        </is>
      </c>
      <c r="D23" s="31">
        <f>'HOLERITE SET.26'!B27</f>
        <v/>
      </c>
      <c r="E23" s="36" t="n"/>
    </row>
    <row r="24">
      <c r="A24" s="27" t="inlineStr">
        <is>
          <t>DEAN</t>
        </is>
      </c>
      <c r="B24" s="27" t="inlineStr">
        <is>
          <t>DESCONTO VALE TRANSPORTE 6%</t>
        </is>
      </c>
      <c r="C24" s="27" t="inlineStr">
        <is>
          <t>Desconto</t>
        </is>
      </c>
      <c r="D24" s="31">
        <f>'HOLERITE SET.26'!B28</f>
        <v/>
      </c>
      <c r="E24" s="36" t="n"/>
    </row>
    <row r="25">
      <c r="A25" s="27" t="inlineStr">
        <is>
          <t>DEAN</t>
        </is>
      </c>
      <c r="B25" s="27" t="inlineStr">
        <is>
          <t>DESCONTO INSS</t>
        </is>
      </c>
      <c r="C25" s="27" t="inlineStr">
        <is>
          <t>Desconto</t>
        </is>
      </c>
      <c r="D25" s="31">
        <f>'HOLERITE SET.26'!B29</f>
        <v/>
      </c>
      <c r="E25" s="36" t="n"/>
    </row>
    <row r="26">
      <c r="A26" s="27" t="inlineStr">
        <is>
          <t>DEAN</t>
        </is>
      </c>
      <c r="B26" s="27" t="inlineStr">
        <is>
          <t>DESCONTO IRRF</t>
        </is>
      </c>
      <c r="C26" s="27" t="inlineStr">
        <is>
          <t>Desconto</t>
        </is>
      </c>
      <c r="D26" s="31">
        <f>'HOLERITE SET.26'!B30</f>
        <v/>
      </c>
      <c r="E26" s="36" t="n"/>
    </row>
    <row r="27">
      <c r="A27" s="37" t="inlineStr">
        <is>
          <t>DEAN</t>
        </is>
      </c>
      <c r="B27" s="37" t="inlineStr">
        <is>
          <t>TOTAL DE DESCONTOS</t>
        </is>
      </c>
      <c r="C27" s="37" t="inlineStr">
        <is>
          <t>Subtotal</t>
        </is>
      </c>
      <c r="D27" s="38">
        <f>'HOLERITE SET.26'!B31</f>
        <v/>
      </c>
      <c r="E27" s="18" t="n"/>
    </row>
    <row r="28">
      <c r="A28" s="39" t="inlineStr">
        <is>
          <t>DEAN</t>
        </is>
      </c>
      <c r="B28" s="40" t="inlineStr">
        <is>
          <t>LÍQUIDO A RECEBER</t>
        </is>
      </c>
      <c r="C28" s="40" t="inlineStr">
        <is>
          <t>Líquido</t>
        </is>
      </c>
      <c r="D28" s="41">
        <f>'HOLERITE SET.26'!B33</f>
        <v/>
      </c>
      <c r="E28" s="42" t="n"/>
    </row>
    <row r="30">
      <c r="A30" s="27" t="inlineStr">
        <is>
          <t>AGNOR</t>
        </is>
      </c>
      <c r="B30" s="27" t="inlineStr">
        <is>
          <t>SALÁRIO BASE</t>
        </is>
      </c>
      <c r="C30" s="27" t="inlineStr">
        <is>
          <t>Provento</t>
        </is>
      </c>
      <c r="D30" s="31">
        <f>'HOLERITE SET.26'!C6</f>
        <v/>
      </c>
      <c r="E30" s="36" t="n"/>
    </row>
    <row r="31">
      <c r="A31" s="27" t="inlineStr">
        <is>
          <t>AGNOR</t>
        </is>
      </c>
      <c r="B31" s="27" t="inlineStr">
        <is>
          <t>ADICIONAL NOTURNO</t>
        </is>
      </c>
      <c r="C31" s="27" t="inlineStr">
        <is>
          <t>Provento</t>
        </is>
      </c>
      <c r="D31" s="31">
        <f>'HOLERITE SET.26'!C7</f>
        <v/>
      </c>
      <c r="E31" s="36" t="n"/>
    </row>
    <row r="32">
      <c r="A32" s="27" t="inlineStr">
        <is>
          <t>AGNOR</t>
        </is>
      </c>
      <c r="B32" s="27" t="inlineStr">
        <is>
          <t>HORAS EXTRAS</t>
        </is>
      </c>
      <c r="C32" s="27" t="inlineStr">
        <is>
          <t>Provento</t>
        </is>
      </c>
      <c r="D32" s="31">
        <f>'HOLERITE SET.26'!C8</f>
        <v/>
      </c>
      <c r="E32" s="36" t="n"/>
    </row>
    <row r="33">
      <c r="A33" s="27" t="inlineStr">
        <is>
          <t>AGNOR</t>
        </is>
      </c>
      <c r="B33" s="27" t="inlineStr">
        <is>
          <t>COMISSÃO SOBRE VENDAS</t>
        </is>
      </c>
      <c r="C33" s="27" t="inlineStr">
        <is>
          <t>Provento</t>
        </is>
      </c>
      <c r="D33" s="31">
        <f>'HOLERITE SET.26'!C11</f>
        <v/>
      </c>
      <c r="E33" s="36" t="n"/>
    </row>
    <row r="34">
      <c r="A34" s="27" t="inlineStr">
        <is>
          <t>AGNOR</t>
        </is>
      </c>
      <c r="B34" s="27" t="inlineStr">
        <is>
          <t>REPOUSO REMUNERADO / DSR</t>
        </is>
      </c>
      <c r="C34" s="27" t="inlineStr">
        <is>
          <t>Provento</t>
        </is>
      </c>
      <c r="D34" s="31">
        <f>'HOLERITE SET.26'!C12</f>
        <v/>
      </c>
      <c r="E34" s="36" t="n"/>
    </row>
    <row r="35">
      <c r="A35" s="27" t="inlineStr">
        <is>
          <t>AGNOR</t>
        </is>
      </c>
      <c r="B35" s="27" t="inlineStr">
        <is>
          <t>AUXÍLIO GERÊNCIA</t>
        </is>
      </c>
      <c r="C35" s="27" t="inlineStr">
        <is>
          <t>Provento</t>
        </is>
      </c>
      <c r="D35" s="31">
        <f>'HOLERITE SET.26'!C13</f>
        <v/>
      </c>
      <c r="E35" s="36" t="n"/>
    </row>
    <row r="36">
      <c r="A36" s="27" t="inlineStr">
        <is>
          <t>AGNOR</t>
        </is>
      </c>
      <c r="B36" s="27" t="inlineStr">
        <is>
          <t>ADICIONAL PRÊMIO META CAIXA</t>
        </is>
      </c>
      <c r="C36" s="27" t="inlineStr">
        <is>
          <t>Provento</t>
        </is>
      </c>
      <c r="D36" s="31">
        <f>'HOLERITE SET.26'!C14</f>
        <v/>
      </c>
      <c r="E36" s="36" t="n"/>
    </row>
    <row r="37">
      <c r="A37" s="27" t="inlineStr">
        <is>
          <t>AGNOR</t>
        </is>
      </c>
      <c r="B37" s="27" t="inlineStr">
        <is>
          <t>PRÊMIO COTA GERAL</t>
        </is>
      </c>
      <c r="C37" s="27" t="inlineStr">
        <is>
          <t>Provento</t>
        </is>
      </c>
      <c r="D37" s="31">
        <f>'HOLERITE SET.26'!C15</f>
        <v/>
      </c>
      <c r="E37" s="36" t="n"/>
    </row>
    <row r="38">
      <c r="A38" s="27" t="inlineStr">
        <is>
          <t>AGNOR</t>
        </is>
      </c>
      <c r="B38" s="27" t="inlineStr">
        <is>
          <t>PRÊMIO PRÉ-VENCIDOS</t>
        </is>
      </c>
      <c r="C38" s="27" t="inlineStr">
        <is>
          <t>Provento</t>
        </is>
      </c>
      <c r="D38" s="31">
        <f>'HOLERITE SET.26'!C16</f>
        <v/>
      </c>
      <c r="E38" s="36" t="n"/>
    </row>
    <row r="39">
      <c r="A39" s="27" t="inlineStr">
        <is>
          <t>AGNOR</t>
        </is>
      </c>
      <c r="B39" s="27" t="inlineStr">
        <is>
          <t>FÉRIAS</t>
        </is>
      </c>
      <c r="C39" s="27" t="inlineStr">
        <is>
          <t>Provento</t>
        </is>
      </c>
      <c r="D39" s="31">
        <f>'HOLERITE SET.26'!C17</f>
        <v/>
      </c>
      <c r="E39" s="36" t="n"/>
    </row>
    <row r="40">
      <c r="A40" s="27" t="inlineStr">
        <is>
          <t>AGNOR</t>
        </is>
      </c>
      <c r="B40" s="27" t="inlineStr">
        <is>
          <t>1/3 CONSTITUCIONAL DE FÉRIAS</t>
        </is>
      </c>
      <c r="C40" s="27" t="inlineStr">
        <is>
          <t>Provento</t>
        </is>
      </c>
      <c r="D40" s="31">
        <f>'HOLERITE SET.26'!C18</f>
        <v/>
      </c>
      <c r="E40" s="36" t="n"/>
    </row>
    <row r="41">
      <c r="A41" s="27" t="inlineStr">
        <is>
          <t>AGNOR</t>
        </is>
      </c>
      <c r="B41" s="27" t="inlineStr">
        <is>
          <t>INCENTIVO APLICAÇÕES</t>
        </is>
      </c>
      <c r="C41" s="27" t="inlineStr">
        <is>
          <t>Provento</t>
        </is>
      </c>
      <c r="D41" s="31">
        <f>'HOLERITE SET.26'!C19</f>
        <v/>
      </c>
      <c r="E41" s="36" t="n"/>
    </row>
    <row r="42">
      <c r="A42" s="27" t="inlineStr">
        <is>
          <t>AGNOR</t>
        </is>
      </c>
      <c r="B42" s="27" t="inlineStr">
        <is>
          <t>INCENTIVO VITAMINAS</t>
        </is>
      </c>
      <c r="C42" s="27" t="inlineStr">
        <is>
          <t>Provento</t>
        </is>
      </c>
      <c r="D42" s="31">
        <f>'HOLERITE SET.26'!C20</f>
        <v/>
      </c>
      <c r="E42" s="36" t="n"/>
    </row>
    <row r="43">
      <c r="A43" s="27" t="inlineStr">
        <is>
          <t>AGNOR</t>
        </is>
      </c>
      <c r="B43" s="27" t="inlineStr">
        <is>
          <t>OUTROS INCENTIVOS</t>
        </is>
      </c>
      <c r="C43" s="27" t="inlineStr">
        <is>
          <t>Provento</t>
        </is>
      </c>
      <c r="D43" s="31">
        <f>'HOLERITE SET.26'!C21</f>
        <v/>
      </c>
      <c r="E43" s="36" t="n"/>
    </row>
    <row r="44">
      <c r="A44" s="37" t="inlineStr">
        <is>
          <t>AGNOR</t>
        </is>
      </c>
      <c r="B44" s="37" t="inlineStr">
        <is>
          <t>TOTAL DE PROVENTOS</t>
        </is>
      </c>
      <c r="C44" s="37" t="inlineStr">
        <is>
          <t>Subtotal</t>
        </is>
      </c>
      <c r="D44" s="38">
        <f>'HOLERITE SET.26'!C22</f>
        <v/>
      </c>
      <c r="E44" s="18" t="n"/>
    </row>
    <row r="45">
      <c r="A45" s="27" t="inlineStr">
        <is>
          <t>AGNOR</t>
        </is>
      </c>
      <c r="B45" s="27" t="inlineStr">
        <is>
          <t>ADIANTAMENTO SALARIAL / VALES</t>
        </is>
      </c>
      <c r="C45" s="27" t="inlineStr">
        <is>
          <t>Desconto</t>
        </is>
      </c>
      <c r="D45" s="31">
        <f>'HOLERITE SET.26'!C24</f>
        <v/>
      </c>
      <c r="E45" s="36" t="n"/>
    </row>
    <row r="46">
      <c r="A46" s="27" t="inlineStr">
        <is>
          <t>AGNOR</t>
        </is>
      </c>
      <c r="B46" s="27" t="inlineStr">
        <is>
          <t>ADIANT. VALES INCENT. E APLIC.</t>
        </is>
      </c>
      <c r="C46" s="27" t="inlineStr">
        <is>
          <t>Desconto</t>
        </is>
      </c>
      <c r="D46" s="31">
        <f>'HOLERITE SET.26'!C25</f>
        <v/>
      </c>
      <c r="E46" s="36" t="n"/>
    </row>
    <row r="47">
      <c r="A47" s="27" t="inlineStr">
        <is>
          <t>AGNOR</t>
        </is>
      </c>
      <c r="B47" s="27" t="inlineStr">
        <is>
          <t>CONVÊNIO</t>
        </is>
      </c>
      <c r="C47" s="27" t="inlineStr">
        <is>
          <t>Desconto</t>
        </is>
      </c>
      <c r="D47" s="31">
        <f>'HOLERITE SET.26'!C26</f>
        <v/>
      </c>
      <c r="E47" s="36" t="n"/>
    </row>
    <row r="48">
      <c r="A48" s="27" t="inlineStr">
        <is>
          <t>AGNOR</t>
        </is>
      </c>
      <c r="B48" s="27" t="inlineStr">
        <is>
          <t>DESCONTO FALTAS / ATRASOS</t>
        </is>
      </c>
      <c r="C48" s="27" t="inlineStr">
        <is>
          <t>Desconto</t>
        </is>
      </c>
      <c r="D48" s="31">
        <f>'HOLERITE SET.26'!C27</f>
        <v/>
      </c>
      <c r="E48" s="36" t="n"/>
    </row>
    <row r="49">
      <c r="A49" s="27" t="inlineStr">
        <is>
          <t>AGNOR</t>
        </is>
      </c>
      <c r="B49" s="27" t="inlineStr">
        <is>
          <t>DESCONTO VALE TRANSPORTE 6%</t>
        </is>
      </c>
      <c r="C49" s="27" t="inlineStr">
        <is>
          <t>Desconto</t>
        </is>
      </c>
      <c r="D49" s="31">
        <f>'HOLERITE SET.26'!C28</f>
        <v/>
      </c>
      <c r="E49" s="36" t="n"/>
    </row>
    <row r="50">
      <c r="A50" s="27" t="inlineStr">
        <is>
          <t>AGNOR</t>
        </is>
      </c>
      <c r="B50" s="27" t="inlineStr">
        <is>
          <t>DESCONTO INSS</t>
        </is>
      </c>
      <c r="C50" s="27" t="inlineStr">
        <is>
          <t>Desconto</t>
        </is>
      </c>
      <c r="D50" s="31">
        <f>'HOLERITE SET.26'!C29</f>
        <v/>
      </c>
      <c r="E50" s="36" t="n"/>
    </row>
    <row r="51">
      <c r="A51" s="27" t="inlineStr">
        <is>
          <t>AGNOR</t>
        </is>
      </c>
      <c r="B51" s="27" t="inlineStr">
        <is>
          <t>DESCONTO IRRF</t>
        </is>
      </c>
      <c r="C51" s="27" t="inlineStr">
        <is>
          <t>Desconto</t>
        </is>
      </c>
      <c r="D51" s="31">
        <f>'HOLERITE SET.26'!C30</f>
        <v/>
      </c>
      <c r="E51" s="36" t="n"/>
    </row>
    <row r="52">
      <c r="A52" s="37" t="inlineStr">
        <is>
          <t>AGNOR</t>
        </is>
      </c>
      <c r="B52" s="37" t="inlineStr">
        <is>
          <t>TOTAL DE DESCONTOS</t>
        </is>
      </c>
      <c r="C52" s="37" t="inlineStr">
        <is>
          <t>Subtotal</t>
        </is>
      </c>
      <c r="D52" s="38">
        <f>'HOLERITE SET.26'!C31</f>
        <v/>
      </c>
      <c r="E52" s="18" t="n"/>
    </row>
    <row r="53">
      <c r="A53" s="39" t="inlineStr">
        <is>
          <t>AGNOR</t>
        </is>
      </c>
      <c r="B53" s="40" t="inlineStr">
        <is>
          <t>LÍQUIDO A RECEBER</t>
        </is>
      </c>
      <c r="C53" s="40" t="inlineStr">
        <is>
          <t>Líquido</t>
        </is>
      </c>
      <c r="D53" s="41">
        <f>'HOLERITE SET.26'!C33</f>
        <v/>
      </c>
      <c r="E53" s="42" t="n"/>
    </row>
    <row r="55">
      <c r="A55" s="27" t="inlineStr">
        <is>
          <t>EDEY</t>
        </is>
      </c>
      <c r="B55" s="27" t="inlineStr">
        <is>
          <t>SALÁRIO BASE</t>
        </is>
      </c>
      <c r="C55" s="27" t="inlineStr">
        <is>
          <t>Provento</t>
        </is>
      </c>
      <c r="D55" s="31">
        <f>'HOLERITE SET.26'!D6</f>
        <v/>
      </c>
      <c r="E55" s="36" t="n"/>
    </row>
    <row r="56">
      <c r="A56" s="27" t="inlineStr">
        <is>
          <t>EDEY</t>
        </is>
      </c>
      <c r="B56" s="27" t="inlineStr">
        <is>
          <t>ADICIONAL NOTURNO</t>
        </is>
      </c>
      <c r="C56" s="27" t="inlineStr">
        <is>
          <t>Provento</t>
        </is>
      </c>
      <c r="D56" s="31">
        <f>'HOLERITE SET.26'!D7</f>
        <v/>
      </c>
      <c r="E56" s="36" t="n"/>
    </row>
    <row r="57">
      <c r="A57" s="27" t="inlineStr">
        <is>
          <t>EDEY</t>
        </is>
      </c>
      <c r="B57" s="27" t="inlineStr">
        <is>
          <t>HORAS EXTRAS</t>
        </is>
      </c>
      <c r="C57" s="27" t="inlineStr">
        <is>
          <t>Provento</t>
        </is>
      </c>
      <c r="D57" s="31">
        <f>'HOLERITE SET.26'!D8</f>
        <v/>
      </c>
      <c r="E57" s="36" t="n"/>
    </row>
    <row r="58">
      <c r="A58" s="27" t="inlineStr">
        <is>
          <t>EDEY</t>
        </is>
      </c>
      <c r="B58" s="27" t="inlineStr">
        <is>
          <t>COMISSÃO SOBRE VENDAS</t>
        </is>
      </c>
      <c r="C58" s="27" t="inlineStr">
        <is>
          <t>Provento</t>
        </is>
      </c>
      <c r="D58" s="31">
        <f>'HOLERITE SET.26'!D11</f>
        <v/>
      </c>
      <c r="E58" s="36" t="n"/>
    </row>
    <row r="59">
      <c r="A59" s="27" t="inlineStr">
        <is>
          <t>EDEY</t>
        </is>
      </c>
      <c r="B59" s="27" t="inlineStr">
        <is>
          <t>REPOUSO REMUNERADO / DSR</t>
        </is>
      </c>
      <c r="C59" s="27" t="inlineStr">
        <is>
          <t>Provento</t>
        </is>
      </c>
      <c r="D59" s="31">
        <f>'HOLERITE SET.26'!D12</f>
        <v/>
      </c>
      <c r="E59" s="36" t="n"/>
    </row>
    <row r="60">
      <c r="A60" s="27" t="inlineStr">
        <is>
          <t>EDEY</t>
        </is>
      </c>
      <c r="B60" s="27" t="inlineStr">
        <is>
          <t>AUXÍLIO GERÊNCIA</t>
        </is>
      </c>
      <c r="C60" s="27" t="inlineStr">
        <is>
          <t>Provento</t>
        </is>
      </c>
      <c r="D60" s="31">
        <f>'HOLERITE SET.26'!D13</f>
        <v/>
      </c>
      <c r="E60" s="36" t="n"/>
    </row>
    <row r="61">
      <c r="A61" s="27" t="inlineStr">
        <is>
          <t>EDEY</t>
        </is>
      </c>
      <c r="B61" s="27" t="inlineStr">
        <is>
          <t>ADICIONAL PRÊMIO META CAIXA</t>
        </is>
      </c>
      <c r="C61" s="27" t="inlineStr">
        <is>
          <t>Provento</t>
        </is>
      </c>
      <c r="D61" s="31">
        <f>'HOLERITE SET.26'!D14</f>
        <v/>
      </c>
      <c r="E61" s="36" t="n"/>
    </row>
    <row r="62">
      <c r="A62" s="27" t="inlineStr">
        <is>
          <t>EDEY</t>
        </is>
      </c>
      <c r="B62" s="27" t="inlineStr">
        <is>
          <t>PRÊMIO COTA GERAL</t>
        </is>
      </c>
      <c r="C62" s="27" t="inlineStr">
        <is>
          <t>Provento</t>
        </is>
      </c>
      <c r="D62" s="31">
        <f>'HOLERITE SET.26'!D15</f>
        <v/>
      </c>
      <c r="E62" s="36" t="n"/>
    </row>
    <row r="63">
      <c r="A63" s="27" t="inlineStr">
        <is>
          <t>EDEY</t>
        </is>
      </c>
      <c r="B63" s="27" t="inlineStr">
        <is>
          <t>PRÊMIO PRÉ-VENCIDOS</t>
        </is>
      </c>
      <c r="C63" s="27" t="inlineStr">
        <is>
          <t>Provento</t>
        </is>
      </c>
      <c r="D63" s="31">
        <f>'HOLERITE SET.26'!D16</f>
        <v/>
      </c>
      <c r="E63" s="36" t="n"/>
    </row>
    <row r="64">
      <c r="A64" s="27" t="inlineStr">
        <is>
          <t>EDEY</t>
        </is>
      </c>
      <c r="B64" s="27" t="inlineStr">
        <is>
          <t>FÉRIAS</t>
        </is>
      </c>
      <c r="C64" s="27" t="inlineStr">
        <is>
          <t>Provento</t>
        </is>
      </c>
      <c r="D64" s="31">
        <f>'HOLERITE SET.26'!D17</f>
        <v/>
      </c>
      <c r="E64" s="36" t="n"/>
    </row>
    <row r="65">
      <c r="A65" s="27" t="inlineStr">
        <is>
          <t>EDEY</t>
        </is>
      </c>
      <c r="B65" s="27" t="inlineStr">
        <is>
          <t>1/3 CONSTITUCIONAL DE FÉRIAS</t>
        </is>
      </c>
      <c r="C65" s="27" t="inlineStr">
        <is>
          <t>Provento</t>
        </is>
      </c>
      <c r="D65" s="31">
        <f>'HOLERITE SET.26'!D18</f>
        <v/>
      </c>
      <c r="E65" s="36" t="n"/>
    </row>
    <row r="66">
      <c r="A66" s="27" t="inlineStr">
        <is>
          <t>EDEY</t>
        </is>
      </c>
      <c r="B66" s="27" t="inlineStr">
        <is>
          <t>INCENTIVO APLICAÇÕES</t>
        </is>
      </c>
      <c r="C66" s="27" t="inlineStr">
        <is>
          <t>Provento</t>
        </is>
      </c>
      <c r="D66" s="31">
        <f>'HOLERITE SET.26'!D19</f>
        <v/>
      </c>
      <c r="E66" s="36" t="n"/>
    </row>
    <row r="67">
      <c r="A67" s="27" t="inlineStr">
        <is>
          <t>EDEY</t>
        </is>
      </c>
      <c r="B67" s="27" t="inlineStr">
        <is>
          <t>INCENTIVO VITAMINAS</t>
        </is>
      </c>
      <c r="C67" s="27" t="inlineStr">
        <is>
          <t>Provento</t>
        </is>
      </c>
      <c r="D67" s="31">
        <f>'HOLERITE SET.26'!D20</f>
        <v/>
      </c>
      <c r="E67" s="36" t="n"/>
    </row>
    <row r="68">
      <c r="A68" s="27" t="inlineStr">
        <is>
          <t>EDEY</t>
        </is>
      </c>
      <c r="B68" s="27" t="inlineStr">
        <is>
          <t>OUTROS INCENTIVOS</t>
        </is>
      </c>
      <c r="C68" s="27" t="inlineStr">
        <is>
          <t>Provento</t>
        </is>
      </c>
      <c r="D68" s="31">
        <f>'HOLERITE SET.26'!D21</f>
        <v/>
      </c>
      <c r="E68" s="36" t="n"/>
    </row>
    <row r="69">
      <c r="A69" s="37" t="inlineStr">
        <is>
          <t>EDEY</t>
        </is>
      </c>
      <c r="B69" s="37" t="inlineStr">
        <is>
          <t>TOTAL DE PROVENTOS</t>
        </is>
      </c>
      <c r="C69" s="37" t="inlineStr">
        <is>
          <t>Subtotal</t>
        </is>
      </c>
      <c r="D69" s="38">
        <f>'HOLERITE SET.26'!D22</f>
        <v/>
      </c>
      <c r="E69" s="18" t="n"/>
    </row>
    <row r="70">
      <c r="A70" s="27" t="inlineStr">
        <is>
          <t>EDEY</t>
        </is>
      </c>
      <c r="B70" s="27" t="inlineStr">
        <is>
          <t>ADIANTAMENTO SALARIAL / VALES</t>
        </is>
      </c>
      <c r="C70" s="27" t="inlineStr">
        <is>
          <t>Desconto</t>
        </is>
      </c>
      <c r="D70" s="31">
        <f>'HOLERITE SET.26'!D24</f>
        <v/>
      </c>
      <c r="E70" s="36" t="n"/>
    </row>
    <row r="71">
      <c r="A71" s="27" t="inlineStr">
        <is>
          <t>EDEY</t>
        </is>
      </c>
      <c r="B71" s="27" t="inlineStr">
        <is>
          <t>ADIANT. VALES INCENT. E APLIC.</t>
        </is>
      </c>
      <c r="C71" s="27" t="inlineStr">
        <is>
          <t>Desconto</t>
        </is>
      </c>
      <c r="D71" s="31">
        <f>'HOLERITE SET.26'!D25</f>
        <v/>
      </c>
      <c r="E71" s="36" t="n"/>
    </row>
    <row r="72">
      <c r="A72" s="27" t="inlineStr">
        <is>
          <t>EDEY</t>
        </is>
      </c>
      <c r="B72" s="27" t="inlineStr">
        <is>
          <t>CONVÊNIO</t>
        </is>
      </c>
      <c r="C72" s="27" t="inlineStr">
        <is>
          <t>Desconto</t>
        </is>
      </c>
      <c r="D72" s="31">
        <f>'HOLERITE SET.26'!D26</f>
        <v/>
      </c>
      <c r="E72" s="36" t="n"/>
    </row>
    <row r="73">
      <c r="A73" s="27" t="inlineStr">
        <is>
          <t>EDEY</t>
        </is>
      </c>
      <c r="B73" s="27" t="inlineStr">
        <is>
          <t>DESCONTO FALTAS / ATRASOS</t>
        </is>
      </c>
      <c r="C73" s="27" t="inlineStr">
        <is>
          <t>Desconto</t>
        </is>
      </c>
      <c r="D73" s="31">
        <f>'HOLERITE SET.26'!D27</f>
        <v/>
      </c>
      <c r="E73" s="36" t="n"/>
    </row>
    <row r="74">
      <c r="A74" s="27" t="inlineStr">
        <is>
          <t>EDEY</t>
        </is>
      </c>
      <c r="B74" s="27" t="inlineStr">
        <is>
          <t>DESCONTO VALE TRANSPORTE 6%</t>
        </is>
      </c>
      <c r="C74" s="27" t="inlineStr">
        <is>
          <t>Desconto</t>
        </is>
      </c>
      <c r="D74" s="31">
        <f>'HOLERITE SET.26'!D28</f>
        <v/>
      </c>
      <c r="E74" s="36" t="n"/>
    </row>
    <row r="75">
      <c r="A75" s="27" t="inlineStr">
        <is>
          <t>EDEY</t>
        </is>
      </c>
      <c r="B75" s="27" t="inlineStr">
        <is>
          <t>DESCONTO INSS</t>
        </is>
      </c>
      <c r="C75" s="27" t="inlineStr">
        <is>
          <t>Desconto</t>
        </is>
      </c>
      <c r="D75" s="31">
        <f>'HOLERITE SET.26'!D29</f>
        <v/>
      </c>
      <c r="E75" s="36" t="n"/>
    </row>
    <row r="76">
      <c r="A76" s="27" t="inlineStr">
        <is>
          <t>EDEY</t>
        </is>
      </c>
      <c r="B76" s="27" t="inlineStr">
        <is>
          <t>DESCONTO IRRF</t>
        </is>
      </c>
      <c r="C76" s="27" t="inlineStr">
        <is>
          <t>Desconto</t>
        </is>
      </c>
      <c r="D76" s="31">
        <f>'HOLERITE SET.26'!D30</f>
        <v/>
      </c>
      <c r="E76" s="36" t="n"/>
    </row>
    <row r="77">
      <c r="A77" s="37" t="inlineStr">
        <is>
          <t>EDEY</t>
        </is>
      </c>
      <c r="B77" s="37" t="inlineStr">
        <is>
          <t>TOTAL DE DESCONTOS</t>
        </is>
      </c>
      <c r="C77" s="37" t="inlineStr">
        <is>
          <t>Subtotal</t>
        </is>
      </c>
      <c r="D77" s="38">
        <f>'HOLERITE SET.26'!D31</f>
        <v/>
      </c>
      <c r="E77" s="18" t="n"/>
    </row>
    <row r="78">
      <c r="A78" s="39" t="inlineStr">
        <is>
          <t>EDEY</t>
        </is>
      </c>
      <c r="B78" s="40" t="inlineStr">
        <is>
          <t>LÍQUIDO A RECEBER</t>
        </is>
      </c>
      <c r="C78" s="40" t="inlineStr">
        <is>
          <t>Líquido</t>
        </is>
      </c>
      <c r="D78" s="41">
        <f>'HOLERITE SET.26'!D33</f>
        <v/>
      </c>
      <c r="E78" s="42" t="n"/>
    </row>
    <row r="80">
      <c r="A80" s="27" t="inlineStr">
        <is>
          <t>JOEL</t>
        </is>
      </c>
      <c r="B80" s="27" t="inlineStr">
        <is>
          <t>SALÁRIO BASE</t>
        </is>
      </c>
      <c r="C80" s="27" t="inlineStr">
        <is>
          <t>Provento</t>
        </is>
      </c>
      <c r="D80" s="31">
        <f>'HOLERITE SET.26'!E6</f>
        <v/>
      </c>
      <c r="E80" s="36" t="n"/>
    </row>
    <row r="81">
      <c r="A81" s="27" t="inlineStr">
        <is>
          <t>JOEL</t>
        </is>
      </c>
      <c r="B81" s="27" t="inlineStr">
        <is>
          <t>ADICIONAL NOTURNO</t>
        </is>
      </c>
      <c r="C81" s="27" t="inlineStr">
        <is>
          <t>Provento</t>
        </is>
      </c>
      <c r="D81" s="31">
        <f>'HOLERITE SET.26'!E7</f>
        <v/>
      </c>
      <c r="E81" s="36" t="n"/>
    </row>
    <row r="82">
      <c r="A82" s="27" t="inlineStr">
        <is>
          <t>JOEL</t>
        </is>
      </c>
      <c r="B82" s="27" t="inlineStr">
        <is>
          <t>HORAS EXTRAS</t>
        </is>
      </c>
      <c r="C82" s="27" t="inlineStr">
        <is>
          <t>Provento</t>
        </is>
      </c>
      <c r="D82" s="31">
        <f>'HOLERITE SET.26'!E8</f>
        <v/>
      </c>
      <c r="E82" s="36" t="n"/>
    </row>
    <row r="83">
      <c r="A83" s="27" t="inlineStr">
        <is>
          <t>JOEL</t>
        </is>
      </c>
      <c r="B83" s="27" t="inlineStr">
        <is>
          <t>COMISSÃO SOBRE VENDAS</t>
        </is>
      </c>
      <c r="C83" s="27" t="inlineStr">
        <is>
          <t>Provento</t>
        </is>
      </c>
      <c r="D83" s="31">
        <f>'HOLERITE SET.26'!E11</f>
        <v/>
      </c>
      <c r="E83" s="36" t="n"/>
    </row>
    <row r="84">
      <c r="A84" s="27" t="inlineStr">
        <is>
          <t>JOEL</t>
        </is>
      </c>
      <c r="B84" s="27" t="inlineStr">
        <is>
          <t>REPOUSO REMUNERADO / DSR</t>
        </is>
      </c>
      <c r="C84" s="27" t="inlineStr">
        <is>
          <t>Provento</t>
        </is>
      </c>
      <c r="D84" s="31">
        <f>'HOLERITE SET.26'!E12</f>
        <v/>
      </c>
      <c r="E84" s="36" t="n"/>
    </row>
    <row r="85">
      <c r="A85" s="27" t="inlineStr">
        <is>
          <t>JOEL</t>
        </is>
      </c>
      <c r="B85" s="27" t="inlineStr">
        <is>
          <t>AUXÍLIO GERÊNCIA</t>
        </is>
      </c>
      <c r="C85" s="27" t="inlineStr">
        <is>
          <t>Provento</t>
        </is>
      </c>
      <c r="D85" s="31">
        <f>'HOLERITE SET.26'!E13</f>
        <v/>
      </c>
      <c r="E85" s="36" t="n"/>
    </row>
    <row r="86">
      <c r="A86" s="27" t="inlineStr">
        <is>
          <t>JOEL</t>
        </is>
      </c>
      <c r="B86" s="27" t="inlineStr">
        <is>
          <t>ADICIONAL PRÊMIO META CAIXA</t>
        </is>
      </c>
      <c r="C86" s="27" t="inlineStr">
        <is>
          <t>Provento</t>
        </is>
      </c>
      <c r="D86" s="31">
        <f>'HOLERITE SET.26'!E14</f>
        <v/>
      </c>
      <c r="E86" s="36" t="n"/>
    </row>
    <row r="87">
      <c r="A87" s="27" t="inlineStr">
        <is>
          <t>JOEL</t>
        </is>
      </c>
      <c r="B87" s="27" t="inlineStr">
        <is>
          <t>PRÊMIO COTA GERAL</t>
        </is>
      </c>
      <c r="C87" s="27" t="inlineStr">
        <is>
          <t>Provento</t>
        </is>
      </c>
      <c r="D87" s="31">
        <f>'HOLERITE SET.26'!E15</f>
        <v/>
      </c>
      <c r="E87" s="36" t="n"/>
    </row>
    <row r="88">
      <c r="A88" s="27" t="inlineStr">
        <is>
          <t>JOEL</t>
        </is>
      </c>
      <c r="B88" s="27" t="inlineStr">
        <is>
          <t>PRÊMIO PRÉ-VENCIDOS</t>
        </is>
      </c>
      <c r="C88" s="27" t="inlineStr">
        <is>
          <t>Provento</t>
        </is>
      </c>
      <c r="D88" s="31">
        <f>'HOLERITE SET.26'!E16</f>
        <v/>
      </c>
      <c r="E88" s="36" t="n"/>
    </row>
    <row r="89">
      <c r="A89" s="27" t="inlineStr">
        <is>
          <t>JOEL</t>
        </is>
      </c>
      <c r="B89" s="27" t="inlineStr">
        <is>
          <t>FÉRIAS</t>
        </is>
      </c>
      <c r="C89" s="27" t="inlineStr">
        <is>
          <t>Provento</t>
        </is>
      </c>
      <c r="D89" s="31">
        <f>'HOLERITE SET.26'!E17</f>
        <v/>
      </c>
      <c r="E89" s="36" t="n"/>
    </row>
    <row r="90">
      <c r="A90" s="27" t="inlineStr">
        <is>
          <t>JOEL</t>
        </is>
      </c>
      <c r="B90" s="27" t="inlineStr">
        <is>
          <t>1/3 CONSTITUCIONAL DE FÉRIAS</t>
        </is>
      </c>
      <c r="C90" s="27" t="inlineStr">
        <is>
          <t>Provento</t>
        </is>
      </c>
      <c r="D90" s="31">
        <f>'HOLERITE SET.26'!E18</f>
        <v/>
      </c>
      <c r="E90" s="36" t="n"/>
    </row>
    <row r="91">
      <c r="A91" s="27" t="inlineStr">
        <is>
          <t>JOEL</t>
        </is>
      </c>
      <c r="B91" s="27" t="inlineStr">
        <is>
          <t>INCENTIVO APLICAÇÕES</t>
        </is>
      </c>
      <c r="C91" s="27" t="inlineStr">
        <is>
          <t>Provento</t>
        </is>
      </c>
      <c r="D91" s="31">
        <f>'HOLERITE SET.26'!E19</f>
        <v/>
      </c>
      <c r="E91" s="36" t="n"/>
    </row>
    <row r="92">
      <c r="A92" s="27" t="inlineStr">
        <is>
          <t>JOEL</t>
        </is>
      </c>
      <c r="B92" s="27" t="inlineStr">
        <is>
          <t>INCENTIVO VITAMINAS</t>
        </is>
      </c>
      <c r="C92" s="27" t="inlineStr">
        <is>
          <t>Provento</t>
        </is>
      </c>
      <c r="D92" s="31">
        <f>'HOLERITE SET.26'!E20</f>
        <v/>
      </c>
      <c r="E92" s="36" t="n"/>
    </row>
    <row r="93">
      <c r="A93" s="27" t="inlineStr">
        <is>
          <t>JOEL</t>
        </is>
      </c>
      <c r="B93" s="27" t="inlineStr">
        <is>
          <t>OUTROS INCENTIVOS</t>
        </is>
      </c>
      <c r="C93" s="27" t="inlineStr">
        <is>
          <t>Provento</t>
        </is>
      </c>
      <c r="D93" s="31">
        <f>'HOLERITE SET.26'!E21</f>
        <v/>
      </c>
      <c r="E93" s="36" t="n"/>
    </row>
    <row r="94">
      <c r="A94" s="37" t="inlineStr">
        <is>
          <t>JOEL</t>
        </is>
      </c>
      <c r="B94" s="37" t="inlineStr">
        <is>
          <t>TOTAL DE PROVENTOS</t>
        </is>
      </c>
      <c r="C94" s="37" t="inlineStr">
        <is>
          <t>Subtotal</t>
        </is>
      </c>
      <c r="D94" s="38">
        <f>'HOLERITE SET.26'!E22</f>
        <v/>
      </c>
      <c r="E94" s="18" t="n"/>
    </row>
    <row r="95">
      <c r="A95" s="27" t="inlineStr">
        <is>
          <t>JOEL</t>
        </is>
      </c>
      <c r="B95" s="27" t="inlineStr">
        <is>
          <t>ADIANTAMENTO SALARIAL / VALES</t>
        </is>
      </c>
      <c r="C95" s="27" t="inlineStr">
        <is>
          <t>Desconto</t>
        </is>
      </c>
      <c r="D95" s="31">
        <f>'HOLERITE SET.26'!E24</f>
        <v/>
      </c>
      <c r="E95" s="36" t="n"/>
    </row>
    <row r="96">
      <c r="A96" s="27" t="inlineStr">
        <is>
          <t>JOEL</t>
        </is>
      </c>
      <c r="B96" s="27" t="inlineStr">
        <is>
          <t>ADIANT. VALES INCENT. E APLIC.</t>
        </is>
      </c>
      <c r="C96" s="27" t="inlineStr">
        <is>
          <t>Desconto</t>
        </is>
      </c>
      <c r="D96" s="31">
        <f>'HOLERITE SET.26'!E25</f>
        <v/>
      </c>
      <c r="E96" s="36" t="n"/>
    </row>
    <row r="97">
      <c r="A97" s="27" t="inlineStr">
        <is>
          <t>JOEL</t>
        </is>
      </c>
      <c r="B97" s="27" t="inlineStr">
        <is>
          <t>CONVÊNIO</t>
        </is>
      </c>
      <c r="C97" s="27" t="inlineStr">
        <is>
          <t>Desconto</t>
        </is>
      </c>
      <c r="D97" s="31">
        <f>'HOLERITE SET.26'!E26</f>
        <v/>
      </c>
      <c r="E97" s="36" t="n"/>
    </row>
    <row r="98">
      <c r="A98" s="27" t="inlineStr">
        <is>
          <t>JOEL</t>
        </is>
      </c>
      <c r="B98" s="27" t="inlineStr">
        <is>
          <t>DESCONTO FALTAS / ATRASOS</t>
        </is>
      </c>
      <c r="C98" s="27" t="inlineStr">
        <is>
          <t>Desconto</t>
        </is>
      </c>
      <c r="D98" s="31">
        <f>'HOLERITE SET.26'!E27</f>
        <v/>
      </c>
      <c r="E98" s="36" t="n"/>
    </row>
    <row r="99">
      <c r="A99" s="27" t="inlineStr">
        <is>
          <t>JOEL</t>
        </is>
      </c>
      <c r="B99" s="27" t="inlineStr">
        <is>
          <t>DESCONTO VALE TRANSPORTE 6%</t>
        </is>
      </c>
      <c r="C99" s="27" t="inlineStr">
        <is>
          <t>Desconto</t>
        </is>
      </c>
      <c r="D99" s="31">
        <f>'HOLERITE SET.26'!E28</f>
        <v/>
      </c>
      <c r="E99" s="36" t="n"/>
    </row>
    <row r="100">
      <c r="A100" s="27" t="inlineStr">
        <is>
          <t>JOEL</t>
        </is>
      </c>
      <c r="B100" s="27" t="inlineStr">
        <is>
          <t>DESCONTO INSS</t>
        </is>
      </c>
      <c r="C100" s="27" t="inlineStr">
        <is>
          <t>Desconto</t>
        </is>
      </c>
      <c r="D100" s="31">
        <f>'HOLERITE SET.26'!E29</f>
        <v/>
      </c>
      <c r="E100" s="36" t="n"/>
    </row>
    <row r="101">
      <c r="A101" s="27" t="inlineStr">
        <is>
          <t>JOEL</t>
        </is>
      </c>
      <c r="B101" s="27" t="inlineStr">
        <is>
          <t>DESCONTO IRRF</t>
        </is>
      </c>
      <c r="C101" s="27" t="inlineStr">
        <is>
          <t>Desconto</t>
        </is>
      </c>
      <c r="D101" s="31">
        <f>'HOLERITE SET.26'!E30</f>
        <v/>
      </c>
      <c r="E101" s="36" t="n"/>
    </row>
    <row r="102">
      <c r="A102" s="37" t="inlineStr">
        <is>
          <t>JOEL</t>
        </is>
      </c>
      <c r="B102" s="37" t="inlineStr">
        <is>
          <t>TOTAL DE DESCONTOS</t>
        </is>
      </c>
      <c r="C102" s="37" t="inlineStr">
        <is>
          <t>Subtotal</t>
        </is>
      </c>
      <c r="D102" s="38">
        <f>'HOLERITE SET.26'!E31</f>
        <v/>
      </c>
      <c r="E102" s="18" t="n"/>
    </row>
    <row r="103">
      <c r="A103" s="39" t="inlineStr">
        <is>
          <t>JOEL</t>
        </is>
      </c>
      <c r="B103" s="40" t="inlineStr">
        <is>
          <t>LÍQUIDO A RECEBER</t>
        </is>
      </c>
      <c r="C103" s="40" t="inlineStr">
        <is>
          <t>Líquido</t>
        </is>
      </c>
      <c r="D103" s="41">
        <f>'HOLERITE SET.26'!E33</f>
        <v/>
      </c>
      <c r="E103" s="42" t="n"/>
    </row>
    <row r="105">
      <c r="A105" s="27" t="inlineStr">
        <is>
          <t>VALÉRIA</t>
        </is>
      </c>
      <c r="B105" s="27" t="inlineStr">
        <is>
          <t>SALÁRIO BASE</t>
        </is>
      </c>
      <c r="C105" s="27" t="inlineStr">
        <is>
          <t>Provento</t>
        </is>
      </c>
      <c r="D105" s="31">
        <f>'HOLERITE SET.26'!F6</f>
        <v/>
      </c>
      <c r="E105" s="36" t="n"/>
    </row>
    <row r="106">
      <c r="A106" s="27" t="inlineStr">
        <is>
          <t>VALÉRIA</t>
        </is>
      </c>
      <c r="B106" s="27" t="inlineStr">
        <is>
          <t>ADICIONAL NOTURNO</t>
        </is>
      </c>
      <c r="C106" s="27" t="inlineStr">
        <is>
          <t>Provento</t>
        </is>
      </c>
      <c r="D106" s="31">
        <f>'HOLERITE SET.26'!F7</f>
        <v/>
      </c>
      <c r="E106" s="36" t="n"/>
    </row>
    <row r="107">
      <c r="A107" s="27" t="inlineStr">
        <is>
          <t>VALÉRIA</t>
        </is>
      </c>
      <c r="B107" s="27" t="inlineStr">
        <is>
          <t>HORAS EXTRAS</t>
        </is>
      </c>
      <c r="C107" s="27" t="inlineStr">
        <is>
          <t>Provento</t>
        </is>
      </c>
      <c r="D107" s="31">
        <f>'HOLERITE SET.26'!F8</f>
        <v/>
      </c>
      <c r="E107" s="36" t="n"/>
    </row>
    <row r="108">
      <c r="A108" s="27" t="inlineStr">
        <is>
          <t>VALÉRIA</t>
        </is>
      </c>
      <c r="B108" s="27" t="inlineStr">
        <is>
          <t>COMISSÃO SOBRE VENDAS</t>
        </is>
      </c>
      <c r="C108" s="27" t="inlineStr">
        <is>
          <t>Provento</t>
        </is>
      </c>
      <c r="D108" s="31">
        <f>'HOLERITE SET.26'!F11</f>
        <v/>
      </c>
      <c r="E108" s="36" t="n"/>
    </row>
    <row r="109">
      <c r="A109" s="27" t="inlineStr">
        <is>
          <t>VALÉRIA</t>
        </is>
      </c>
      <c r="B109" s="27" t="inlineStr">
        <is>
          <t>REPOUSO REMUNERADO / DSR</t>
        </is>
      </c>
      <c r="C109" s="27" t="inlineStr">
        <is>
          <t>Provento</t>
        </is>
      </c>
      <c r="D109" s="31">
        <f>'HOLERITE SET.26'!F12</f>
        <v/>
      </c>
      <c r="E109" s="36" t="n"/>
    </row>
    <row r="110">
      <c r="A110" s="27" t="inlineStr">
        <is>
          <t>VALÉRIA</t>
        </is>
      </c>
      <c r="B110" s="27" t="inlineStr">
        <is>
          <t>AUXÍLIO GERÊNCIA</t>
        </is>
      </c>
      <c r="C110" s="27" t="inlineStr">
        <is>
          <t>Provento</t>
        </is>
      </c>
      <c r="D110" s="31">
        <f>'HOLERITE SET.26'!F13</f>
        <v/>
      </c>
      <c r="E110" s="36" t="n"/>
    </row>
    <row r="111">
      <c r="A111" s="27" t="inlineStr">
        <is>
          <t>VALÉRIA</t>
        </is>
      </c>
      <c r="B111" s="27" t="inlineStr">
        <is>
          <t>ADICIONAL PRÊMIO META CAIXA</t>
        </is>
      </c>
      <c r="C111" s="27" t="inlineStr">
        <is>
          <t>Provento</t>
        </is>
      </c>
      <c r="D111" s="31">
        <f>'HOLERITE SET.26'!F14</f>
        <v/>
      </c>
      <c r="E111" s="36" t="n"/>
    </row>
    <row r="112">
      <c r="A112" s="27" t="inlineStr">
        <is>
          <t>VALÉRIA</t>
        </is>
      </c>
      <c r="B112" s="27" t="inlineStr">
        <is>
          <t>PRÊMIO COTA GERAL</t>
        </is>
      </c>
      <c r="C112" s="27" t="inlineStr">
        <is>
          <t>Provento</t>
        </is>
      </c>
      <c r="D112" s="31">
        <f>'HOLERITE SET.26'!F15</f>
        <v/>
      </c>
      <c r="E112" s="36" t="n"/>
    </row>
    <row r="113">
      <c r="A113" s="27" t="inlineStr">
        <is>
          <t>VALÉRIA</t>
        </is>
      </c>
      <c r="B113" s="27" t="inlineStr">
        <is>
          <t>PRÊMIO PRÉ-VENCIDOS</t>
        </is>
      </c>
      <c r="C113" s="27" t="inlineStr">
        <is>
          <t>Provento</t>
        </is>
      </c>
      <c r="D113" s="31">
        <f>'HOLERITE SET.26'!F16</f>
        <v/>
      </c>
      <c r="E113" s="36" t="n"/>
    </row>
    <row r="114">
      <c r="A114" s="27" t="inlineStr">
        <is>
          <t>VALÉRIA</t>
        </is>
      </c>
      <c r="B114" s="27" t="inlineStr">
        <is>
          <t>FÉRIAS</t>
        </is>
      </c>
      <c r="C114" s="27" t="inlineStr">
        <is>
          <t>Provento</t>
        </is>
      </c>
      <c r="D114" s="31">
        <f>'HOLERITE SET.26'!F17</f>
        <v/>
      </c>
      <c r="E114" s="36" t="n"/>
    </row>
    <row r="115">
      <c r="A115" s="27" t="inlineStr">
        <is>
          <t>VALÉRIA</t>
        </is>
      </c>
      <c r="B115" s="27" t="inlineStr">
        <is>
          <t>1/3 CONSTITUCIONAL DE FÉRIAS</t>
        </is>
      </c>
      <c r="C115" s="27" t="inlineStr">
        <is>
          <t>Provento</t>
        </is>
      </c>
      <c r="D115" s="31">
        <f>'HOLERITE SET.26'!F18</f>
        <v/>
      </c>
      <c r="E115" s="36" t="n"/>
    </row>
    <row r="116">
      <c r="A116" s="27" t="inlineStr">
        <is>
          <t>VALÉRIA</t>
        </is>
      </c>
      <c r="B116" s="27" t="inlineStr">
        <is>
          <t>INCENTIVO APLICAÇÕES</t>
        </is>
      </c>
      <c r="C116" s="27" t="inlineStr">
        <is>
          <t>Provento</t>
        </is>
      </c>
      <c r="D116" s="31">
        <f>'HOLERITE SET.26'!F19</f>
        <v/>
      </c>
      <c r="E116" s="36" t="n"/>
    </row>
    <row r="117">
      <c r="A117" s="27" t="inlineStr">
        <is>
          <t>VALÉRIA</t>
        </is>
      </c>
      <c r="B117" s="27" t="inlineStr">
        <is>
          <t>INCENTIVO VITAMINAS</t>
        </is>
      </c>
      <c r="C117" s="27" t="inlineStr">
        <is>
          <t>Provento</t>
        </is>
      </c>
      <c r="D117" s="31">
        <f>'HOLERITE SET.26'!F20</f>
        <v/>
      </c>
      <c r="E117" s="36" t="n"/>
    </row>
    <row r="118">
      <c r="A118" s="27" t="inlineStr">
        <is>
          <t>VALÉRIA</t>
        </is>
      </c>
      <c r="B118" s="27" t="inlineStr">
        <is>
          <t>OUTROS INCENTIVOS</t>
        </is>
      </c>
      <c r="C118" s="27" t="inlineStr">
        <is>
          <t>Provento</t>
        </is>
      </c>
      <c r="D118" s="31">
        <f>'HOLERITE SET.26'!F21</f>
        <v/>
      </c>
      <c r="E118" s="36" t="n"/>
    </row>
    <row r="119">
      <c r="A119" s="37" t="inlineStr">
        <is>
          <t>VALÉRIA</t>
        </is>
      </c>
      <c r="B119" s="37" t="inlineStr">
        <is>
          <t>TOTAL DE PROVENTOS</t>
        </is>
      </c>
      <c r="C119" s="37" t="inlineStr">
        <is>
          <t>Subtotal</t>
        </is>
      </c>
      <c r="D119" s="38">
        <f>'HOLERITE SET.26'!F22</f>
        <v/>
      </c>
      <c r="E119" s="18" t="n"/>
    </row>
    <row r="120">
      <c r="A120" s="27" t="inlineStr">
        <is>
          <t>VALÉRIA</t>
        </is>
      </c>
      <c r="B120" s="27" t="inlineStr">
        <is>
          <t>ADIANTAMENTO SALARIAL / VALES</t>
        </is>
      </c>
      <c r="C120" s="27" t="inlineStr">
        <is>
          <t>Desconto</t>
        </is>
      </c>
      <c r="D120" s="31">
        <f>'HOLERITE SET.26'!F24</f>
        <v/>
      </c>
      <c r="E120" s="36" t="n"/>
    </row>
    <row r="121">
      <c r="A121" s="27" t="inlineStr">
        <is>
          <t>VALÉRIA</t>
        </is>
      </c>
      <c r="B121" s="27" t="inlineStr">
        <is>
          <t>ADIANT. VALES INCENT. E APLIC.</t>
        </is>
      </c>
      <c r="C121" s="27" t="inlineStr">
        <is>
          <t>Desconto</t>
        </is>
      </c>
      <c r="D121" s="31">
        <f>'HOLERITE SET.26'!F25</f>
        <v/>
      </c>
      <c r="E121" s="36" t="n"/>
    </row>
    <row r="122">
      <c r="A122" s="27" t="inlineStr">
        <is>
          <t>VALÉRIA</t>
        </is>
      </c>
      <c r="B122" s="27" t="inlineStr">
        <is>
          <t>CONVÊNIO</t>
        </is>
      </c>
      <c r="C122" s="27" t="inlineStr">
        <is>
          <t>Desconto</t>
        </is>
      </c>
      <c r="D122" s="31">
        <f>'HOLERITE SET.26'!F26</f>
        <v/>
      </c>
      <c r="E122" s="36" t="n"/>
    </row>
    <row r="123">
      <c r="A123" s="27" t="inlineStr">
        <is>
          <t>VALÉRIA</t>
        </is>
      </c>
      <c r="B123" s="27" t="inlineStr">
        <is>
          <t>DESCONTO FALTAS / ATRASOS</t>
        </is>
      </c>
      <c r="C123" s="27" t="inlineStr">
        <is>
          <t>Desconto</t>
        </is>
      </c>
      <c r="D123" s="31">
        <f>'HOLERITE SET.26'!F27</f>
        <v/>
      </c>
      <c r="E123" s="36" t="n"/>
    </row>
    <row r="124">
      <c r="A124" s="27" t="inlineStr">
        <is>
          <t>VALÉRIA</t>
        </is>
      </c>
      <c r="B124" s="27" t="inlineStr">
        <is>
          <t>DESCONTO VALE TRANSPORTE 6%</t>
        </is>
      </c>
      <c r="C124" s="27" t="inlineStr">
        <is>
          <t>Desconto</t>
        </is>
      </c>
      <c r="D124" s="31">
        <f>'HOLERITE SET.26'!F28</f>
        <v/>
      </c>
      <c r="E124" s="36" t="n"/>
    </row>
    <row r="125">
      <c r="A125" s="27" t="inlineStr">
        <is>
          <t>VALÉRIA</t>
        </is>
      </c>
      <c r="B125" s="27" t="inlineStr">
        <is>
          <t>DESCONTO INSS</t>
        </is>
      </c>
      <c r="C125" s="27" t="inlineStr">
        <is>
          <t>Desconto</t>
        </is>
      </c>
      <c r="D125" s="31">
        <f>'HOLERITE SET.26'!F29</f>
        <v/>
      </c>
      <c r="E125" s="36" t="n"/>
    </row>
    <row r="126">
      <c r="A126" s="27" t="inlineStr">
        <is>
          <t>VALÉRIA</t>
        </is>
      </c>
      <c r="B126" s="27" t="inlineStr">
        <is>
          <t>DESCONTO IRRF</t>
        </is>
      </c>
      <c r="C126" s="27" t="inlineStr">
        <is>
          <t>Desconto</t>
        </is>
      </c>
      <c r="D126" s="31">
        <f>'HOLERITE SET.26'!F30</f>
        <v/>
      </c>
      <c r="E126" s="36" t="n"/>
    </row>
    <row r="127">
      <c r="A127" s="37" t="inlineStr">
        <is>
          <t>VALÉRIA</t>
        </is>
      </c>
      <c r="B127" s="37" t="inlineStr">
        <is>
          <t>TOTAL DE DESCONTOS</t>
        </is>
      </c>
      <c r="C127" s="37" t="inlineStr">
        <is>
          <t>Subtotal</t>
        </is>
      </c>
      <c r="D127" s="38">
        <f>'HOLERITE SET.26'!F31</f>
        <v/>
      </c>
      <c r="E127" s="18" t="n"/>
    </row>
    <row r="128">
      <c r="A128" s="39" t="inlineStr">
        <is>
          <t>VALÉRIA</t>
        </is>
      </c>
      <c r="B128" s="40" t="inlineStr">
        <is>
          <t>LÍQUIDO A RECEBER</t>
        </is>
      </c>
      <c r="C128" s="40" t="inlineStr">
        <is>
          <t>Líquido</t>
        </is>
      </c>
      <c r="D128" s="41">
        <f>'HOLERITE SET.26'!F33</f>
        <v/>
      </c>
      <c r="E128" s="42" t="n"/>
    </row>
    <row r="130">
      <c r="A130" s="27" t="inlineStr">
        <is>
          <t>SARA</t>
        </is>
      </c>
      <c r="B130" s="27" t="inlineStr">
        <is>
          <t>SALÁRIO BASE</t>
        </is>
      </c>
      <c r="C130" s="27" t="inlineStr">
        <is>
          <t>Provento</t>
        </is>
      </c>
      <c r="D130" s="31">
        <f>'HOLERITE SET.26'!G6</f>
        <v/>
      </c>
      <c r="E130" s="36" t="n"/>
    </row>
    <row r="131">
      <c r="A131" s="27" t="inlineStr">
        <is>
          <t>SARA</t>
        </is>
      </c>
      <c r="B131" s="27" t="inlineStr">
        <is>
          <t>ADICIONAL NOTURNO</t>
        </is>
      </c>
      <c r="C131" s="27" t="inlineStr">
        <is>
          <t>Provento</t>
        </is>
      </c>
      <c r="D131" s="31">
        <f>'HOLERITE SET.26'!G7</f>
        <v/>
      </c>
      <c r="E131" s="36" t="n"/>
    </row>
    <row r="132">
      <c r="A132" s="27" t="inlineStr">
        <is>
          <t>SARA</t>
        </is>
      </c>
      <c r="B132" s="27" t="inlineStr">
        <is>
          <t>HORAS EXTRAS</t>
        </is>
      </c>
      <c r="C132" s="27" t="inlineStr">
        <is>
          <t>Provento</t>
        </is>
      </c>
      <c r="D132" s="31">
        <f>'HOLERITE SET.26'!G8</f>
        <v/>
      </c>
      <c r="E132" s="36" t="n"/>
    </row>
    <row r="133">
      <c r="A133" s="27" t="inlineStr">
        <is>
          <t>SARA</t>
        </is>
      </c>
      <c r="B133" s="27" t="inlineStr">
        <is>
          <t>COMISSÃO SOBRE VENDAS</t>
        </is>
      </c>
      <c r="C133" s="27" t="inlineStr">
        <is>
          <t>Provento</t>
        </is>
      </c>
      <c r="D133" s="31">
        <f>'HOLERITE SET.26'!G11</f>
        <v/>
      </c>
      <c r="E133" s="36" t="n"/>
    </row>
    <row r="134">
      <c r="A134" s="27" t="inlineStr">
        <is>
          <t>SARA</t>
        </is>
      </c>
      <c r="B134" s="27" t="inlineStr">
        <is>
          <t>REPOUSO REMUNERADO / DSR</t>
        </is>
      </c>
      <c r="C134" s="27" t="inlineStr">
        <is>
          <t>Provento</t>
        </is>
      </c>
      <c r="D134" s="31">
        <f>'HOLERITE SET.26'!G12</f>
        <v/>
      </c>
      <c r="E134" s="36" t="n"/>
    </row>
    <row r="135">
      <c r="A135" s="27" t="inlineStr">
        <is>
          <t>SARA</t>
        </is>
      </c>
      <c r="B135" s="27" t="inlineStr">
        <is>
          <t>AUXÍLIO GERÊNCIA</t>
        </is>
      </c>
      <c r="C135" s="27" t="inlineStr">
        <is>
          <t>Provento</t>
        </is>
      </c>
      <c r="D135" s="31">
        <f>'HOLERITE SET.26'!G13</f>
        <v/>
      </c>
      <c r="E135" s="36" t="n"/>
    </row>
    <row r="136">
      <c r="A136" s="27" t="inlineStr">
        <is>
          <t>SARA</t>
        </is>
      </c>
      <c r="B136" s="27" t="inlineStr">
        <is>
          <t>ADICIONAL PRÊMIO META CAIXA</t>
        </is>
      </c>
      <c r="C136" s="27" t="inlineStr">
        <is>
          <t>Provento</t>
        </is>
      </c>
      <c r="D136" s="31">
        <f>'HOLERITE SET.26'!G14</f>
        <v/>
      </c>
      <c r="E136" s="36" t="n"/>
    </row>
    <row r="137">
      <c r="A137" s="27" t="inlineStr">
        <is>
          <t>SARA</t>
        </is>
      </c>
      <c r="B137" s="27" t="inlineStr">
        <is>
          <t>PRÊMIO COTA GERAL</t>
        </is>
      </c>
      <c r="C137" s="27" t="inlineStr">
        <is>
          <t>Provento</t>
        </is>
      </c>
      <c r="D137" s="31">
        <f>'HOLERITE SET.26'!G15</f>
        <v/>
      </c>
      <c r="E137" s="36" t="n"/>
    </row>
    <row r="138">
      <c r="A138" s="27" t="inlineStr">
        <is>
          <t>SARA</t>
        </is>
      </c>
      <c r="B138" s="27" t="inlineStr">
        <is>
          <t>PRÊMIO PRÉ-VENCIDOS</t>
        </is>
      </c>
      <c r="C138" s="27" t="inlineStr">
        <is>
          <t>Provento</t>
        </is>
      </c>
      <c r="D138" s="31">
        <f>'HOLERITE SET.26'!G16</f>
        <v/>
      </c>
      <c r="E138" s="36" t="n"/>
    </row>
    <row r="139">
      <c r="A139" s="27" t="inlineStr">
        <is>
          <t>SARA</t>
        </is>
      </c>
      <c r="B139" s="27" t="inlineStr">
        <is>
          <t>FÉRIAS</t>
        </is>
      </c>
      <c r="C139" s="27" t="inlineStr">
        <is>
          <t>Provento</t>
        </is>
      </c>
      <c r="D139" s="31">
        <f>'HOLERITE SET.26'!G17</f>
        <v/>
      </c>
      <c r="E139" s="36" t="n"/>
    </row>
    <row r="140">
      <c r="A140" s="27" t="inlineStr">
        <is>
          <t>SARA</t>
        </is>
      </c>
      <c r="B140" s="27" t="inlineStr">
        <is>
          <t>1/3 CONSTITUCIONAL DE FÉRIAS</t>
        </is>
      </c>
      <c r="C140" s="27" t="inlineStr">
        <is>
          <t>Provento</t>
        </is>
      </c>
      <c r="D140" s="31">
        <f>'HOLERITE SET.26'!G18</f>
        <v/>
      </c>
      <c r="E140" s="36" t="n"/>
    </row>
    <row r="141">
      <c r="A141" s="27" t="inlineStr">
        <is>
          <t>SARA</t>
        </is>
      </c>
      <c r="B141" s="27" t="inlineStr">
        <is>
          <t>INCENTIVO APLICAÇÕES</t>
        </is>
      </c>
      <c r="C141" s="27" t="inlineStr">
        <is>
          <t>Provento</t>
        </is>
      </c>
      <c r="D141" s="31">
        <f>'HOLERITE SET.26'!G19</f>
        <v/>
      </c>
      <c r="E141" s="36" t="n"/>
    </row>
    <row r="142">
      <c r="A142" s="27" t="inlineStr">
        <is>
          <t>SARA</t>
        </is>
      </c>
      <c r="B142" s="27" t="inlineStr">
        <is>
          <t>INCENTIVO VITAMINAS</t>
        </is>
      </c>
      <c r="C142" s="27" t="inlineStr">
        <is>
          <t>Provento</t>
        </is>
      </c>
      <c r="D142" s="31">
        <f>'HOLERITE SET.26'!G20</f>
        <v/>
      </c>
      <c r="E142" s="36" t="n"/>
    </row>
    <row r="143">
      <c r="A143" s="27" t="inlineStr">
        <is>
          <t>SARA</t>
        </is>
      </c>
      <c r="B143" s="27" t="inlineStr">
        <is>
          <t>OUTROS INCENTIVOS</t>
        </is>
      </c>
      <c r="C143" s="27" t="inlineStr">
        <is>
          <t>Provento</t>
        </is>
      </c>
      <c r="D143" s="31">
        <f>'HOLERITE SET.26'!G21</f>
        <v/>
      </c>
      <c r="E143" s="36" t="n"/>
    </row>
    <row r="144">
      <c r="A144" s="37" t="inlineStr">
        <is>
          <t>SARA</t>
        </is>
      </c>
      <c r="B144" s="37" t="inlineStr">
        <is>
          <t>TOTAL DE PROVENTOS</t>
        </is>
      </c>
      <c r="C144" s="37" t="inlineStr">
        <is>
          <t>Subtotal</t>
        </is>
      </c>
      <c r="D144" s="38">
        <f>'HOLERITE SET.26'!G22</f>
        <v/>
      </c>
      <c r="E144" s="18" t="n"/>
    </row>
    <row r="145">
      <c r="A145" s="27" t="inlineStr">
        <is>
          <t>SARA</t>
        </is>
      </c>
      <c r="B145" s="27" t="inlineStr">
        <is>
          <t>ADIANTAMENTO SALARIAL / VALES</t>
        </is>
      </c>
      <c r="C145" s="27" t="inlineStr">
        <is>
          <t>Desconto</t>
        </is>
      </c>
      <c r="D145" s="31">
        <f>'HOLERITE SET.26'!G24</f>
        <v/>
      </c>
      <c r="E145" s="36" t="n"/>
    </row>
    <row r="146">
      <c r="A146" s="27" t="inlineStr">
        <is>
          <t>SARA</t>
        </is>
      </c>
      <c r="B146" s="27" t="inlineStr">
        <is>
          <t>ADIANT. VALES INCENT. E APLIC.</t>
        </is>
      </c>
      <c r="C146" s="27" t="inlineStr">
        <is>
          <t>Desconto</t>
        </is>
      </c>
      <c r="D146" s="31">
        <f>'HOLERITE SET.26'!G25</f>
        <v/>
      </c>
      <c r="E146" s="36" t="n"/>
    </row>
    <row r="147">
      <c r="A147" s="27" t="inlineStr">
        <is>
          <t>SARA</t>
        </is>
      </c>
      <c r="B147" s="27" t="inlineStr">
        <is>
          <t>CONVÊNIO</t>
        </is>
      </c>
      <c r="C147" s="27" t="inlineStr">
        <is>
          <t>Desconto</t>
        </is>
      </c>
      <c r="D147" s="31">
        <f>'HOLERITE SET.26'!G26</f>
        <v/>
      </c>
      <c r="E147" s="36" t="n"/>
    </row>
    <row r="148">
      <c r="A148" s="27" t="inlineStr">
        <is>
          <t>SARA</t>
        </is>
      </c>
      <c r="B148" s="27" t="inlineStr">
        <is>
          <t>DESCONTO FALTAS / ATRASOS</t>
        </is>
      </c>
      <c r="C148" s="27" t="inlineStr">
        <is>
          <t>Desconto</t>
        </is>
      </c>
      <c r="D148" s="31">
        <f>'HOLERITE SET.26'!G27</f>
        <v/>
      </c>
      <c r="E148" s="36" t="n"/>
    </row>
    <row r="149">
      <c r="A149" s="27" t="inlineStr">
        <is>
          <t>SARA</t>
        </is>
      </c>
      <c r="B149" s="27" t="inlineStr">
        <is>
          <t>DESCONTO VALE TRANSPORTE 6%</t>
        </is>
      </c>
      <c r="C149" s="27" t="inlineStr">
        <is>
          <t>Desconto</t>
        </is>
      </c>
      <c r="D149" s="31">
        <f>'HOLERITE SET.26'!G28</f>
        <v/>
      </c>
      <c r="E149" s="36" t="n"/>
    </row>
    <row r="150">
      <c r="A150" s="27" t="inlineStr">
        <is>
          <t>SARA</t>
        </is>
      </c>
      <c r="B150" s="27" t="inlineStr">
        <is>
          <t>DESCONTO INSS</t>
        </is>
      </c>
      <c r="C150" s="27" t="inlineStr">
        <is>
          <t>Desconto</t>
        </is>
      </c>
      <c r="D150" s="31">
        <f>'HOLERITE SET.26'!G29</f>
        <v/>
      </c>
      <c r="E150" s="36" t="n"/>
    </row>
    <row r="151">
      <c r="A151" s="27" t="inlineStr">
        <is>
          <t>SARA</t>
        </is>
      </c>
      <c r="B151" s="27" t="inlineStr">
        <is>
          <t>DESCONTO IRRF</t>
        </is>
      </c>
      <c r="C151" s="27" t="inlineStr">
        <is>
          <t>Desconto</t>
        </is>
      </c>
      <c r="D151" s="31">
        <f>'HOLERITE SET.26'!G30</f>
        <v/>
      </c>
      <c r="E151" s="36" t="n"/>
    </row>
    <row r="152">
      <c r="A152" s="37" t="inlineStr">
        <is>
          <t>SARA</t>
        </is>
      </c>
      <c r="B152" s="37" t="inlineStr">
        <is>
          <t>TOTAL DE DESCONTOS</t>
        </is>
      </c>
      <c r="C152" s="37" t="inlineStr">
        <is>
          <t>Subtotal</t>
        </is>
      </c>
      <c r="D152" s="38">
        <f>'HOLERITE SET.26'!G31</f>
        <v/>
      </c>
      <c r="E152" s="18" t="n"/>
    </row>
    <row r="153">
      <c r="A153" s="39" t="inlineStr">
        <is>
          <t>SARA</t>
        </is>
      </c>
      <c r="B153" s="40" t="inlineStr">
        <is>
          <t>LÍQUIDO A RECEBER</t>
        </is>
      </c>
      <c r="C153" s="40" t="inlineStr">
        <is>
          <t>Líquido</t>
        </is>
      </c>
      <c r="D153" s="41">
        <f>'HOLERITE SET.26'!G33</f>
        <v/>
      </c>
      <c r="E153" s="42" t="n"/>
    </row>
    <row r="155">
      <c r="A155" s="27" t="inlineStr">
        <is>
          <t>CAMILA</t>
        </is>
      </c>
      <c r="B155" s="27" t="inlineStr">
        <is>
          <t>SALÁRIO BASE</t>
        </is>
      </c>
      <c r="C155" s="27" t="inlineStr">
        <is>
          <t>Provento</t>
        </is>
      </c>
      <c r="D155" s="31">
        <f>'HOLERITE SET.26'!H6</f>
        <v/>
      </c>
      <c r="E155" s="36" t="n"/>
    </row>
    <row r="156">
      <c r="A156" s="27" t="inlineStr">
        <is>
          <t>CAMILA</t>
        </is>
      </c>
      <c r="B156" s="27" t="inlineStr">
        <is>
          <t>ADICIONAL NOTURNO</t>
        </is>
      </c>
      <c r="C156" s="27" t="inlineStr">
        <is>
          <t>Provento</t>
        </is>
      </c>
      <c r="D156" s="31">
        <f>'HOLERITE SET.26'!H7</f>
        <v/>
      </c>
      <c r="E156" s="36" t="n"/>
    </row>
    <row r="157">
      <c r="A157" s="27" t="inlineStr">
        <is>
          <t>CAMILA</t>
        </is>
      </c>
      <c r="B157" s="27" t="inlineStr">
        <is>
          <t>HORAS EXTRAS</t>
        </is>
      </c>
      <c r="C157" s="27" t="inlineStr">
        <is>
          <t>Provento</t>
        </is>
      </c>
      <c r="D157" s="31">
        <f>'HOLERITE SET.26'!H8</f>
        <v/>
      </c>
      <c r="E157" s="36" t="n"/>
    </row>
    <row r="158">
      <c r="A158" s="27" t="inlineStr">
        <is>
          <t>CAMILA</t>
        </is>
      </c>
      <c r="B158" s="27" t="inlineStr">
        <is>
          <t>COMISSÃO SOBRE VENDAS</t>
        </is>
      </c>
      <c r="C158" s="27" t="inlineStr">
        <is>
          <t>Provento</t>
        </is>
      </c>
      <c r="D158" s="31">
        <f>'HOLERITE SET.26'!H11</f>
        <v/>
      </c>
      <c r="E158" s="36" t="n"/>
    </row>
    <row r="159">
      <c r="A159" s="27" t="inlineStr">
        <is>
          <t>CAMILA</t>
        </is>
      </c>
      <c r="B159" s="27" t="inlineStr">
        <is>
          <t>REPOUSO REMUNERADO / DSR</t>
        </is>
      </c>
      <c r="C159" s="27" t="inlineStr">
        <is>
          <t>Provento</t>
        </is>
      </c>
      <c r="D159" s="31">
        <f>'HOLERITE SET.26'!H12</f>
        <v/>
      </c>
      <c r="E159" s="36" t="n"/>
    </row>
    <row r="160">
      <c r="A160" s="27" t="inlineStr">
        <is>
          <t>CAMILA</t>
        </is>
      </c>
      <c r="B160" s="27" t="inlineStr">
        <is>
          <t>AUXÍLIO GERÊNCIA</t>
        </is>
      </c>
      <c r="C160" s="27" t="inlineStr">
        <is>
          <t>Provento</t>
        </is>
      </c>
      <c r="D160" s="31">
        <f>'HOLERITE SET.26'!H13</f>
        <v/>
      </c>
      <c r="E160" s="36" t="n"/>
    </row>
    <row r="161">
      <c r="A161" s="27" t="inlineStr">
        <is>
          <t>CAMILA</t>
        </is>
      </c>
      <c r="B161" s="27" t="inlineStr">
        <is>
          <t>ADICIONAL PRÊMIO META CAIXA</t>
        </is>
      </c>
      <c r="C161" s="27" t="inlineStr">
        <is>
          <t>Provento</t>
        </is>
      </c>
      <c r="D161" s="31">
        <f>'HOLERITE SET.26'!H14</f>
        <v/>
      </c>
      <c r="E161" s="36" t="n"/>
    </row>
    <row r="162">
      <c r="A162" s="27" t="inlineStr">
        <is>
          <t>CAMILA</t>
        </is>
      </c>
      <c r="B162" s="27" t="inlineStr">
        <is>
          <t>PRÊMIO COTA GERAL</t>
        </is>
      </c>
      <c r="C162" s="27" t="inlineStr">
        <is>
          <t>Provento</t>
        </is>
      </c>
      <c r="D162" s="31">
        <f>'HOLERITE SET.26'!H15</f>
        <v/>
      </c>
      <c r="E162" s="36" t="n"/>
    </row>
    <row r="163">
      <c r="A163" s="27" t="inlineStr">
        <is>
          <t>CAMILA</t>
        </is>
      </c>
      <c r="B163" s="27" t="inlineStr">
        <is>
          <t>PRÊMIO PRÉ-VENCIDOS</t>
        </is>
      </c>
      <c r="C163" s="27" t="inlineStr">
        <is>
          <t>Provento</t>
        </is>
      </c>
      <c r="D163" s="31">
        <f>'HOLERITE SET.26'!H16</f>
        <v/>
      </c>
      <c r="E163" s="36" t="n"/>
    </row>
    <row r="164">
      <c r="A164" s="27" t="inlineStr">
        <is>
          <t>CAMILA</t>
        </is>
      </c>
      <c r="B164" s="27" t="inlineStr">
        <is>
          <t>FÉRIAS</t>
        </is>
      </c>
      <c r="C164" s="27" t="inlineStr">
        <is>
          <t>Provento</t>
        </is>
      </c>
      <c r="D164" s="31">
        <f>'HOLERITE SET.26'!H17</f>
        <v/>
      </c>
      <c r="E164" s="36" t="n"/>
    </row>
    <row r="165">
      <c r="A165" s="27" t="inlineStr">
        <is>
          <t>CAMILA</t>
        </is>
      </c>
      <c r="B165" s="27" t="inlineStr">
        <is>
          <t>1/3 CONSTITUCIONAL DE FÉRIAS</t>
        </is>
      </c>
      <c r="C165" s="27" t="inlineStr">
        <is>
          <t>Provento</t>
        </is>
      </c>
      <c r="D165" s="31">
        <f>'HOLERITE SET.26'!H18</f>
        <v/>
      </c>
      <c r="E165" s="36" t="n"/>
    </row>
    <row r="166">
      <c r="A166" s="27" t="inlineStr">
        <is>
          <t>CAMILA</t>
        </is>
      </c>
      <c r="B166" s="27" t="inlineStr">
        <is>
          <t>INCENTIVO APLICAÇÕES</t>
        </is>
      </c>
      <c r="C166" s="27" t="inlineStr">
        <is>
          <t>Provento</t>
        </is>
      </c>
      <c r="D166" s="31">
        <f>'HOLERITE SET.26'!H19</f>
        <v/>
      </c>
      <c r="E166" s="36" t="n"/>
    </row>
    <row r="167">
      <c r="A167" s="27" t="inlineStr">
        <is>
          <t>CAMILA</t>
        </is>
      </c>
      <c r="B167" s="27" t="inlineStr">
        <is>
          <t>INCENTIVO VITAMINAS</t>
        </is>
      </c>
      <c r="C167" s="27" t="inlineStr">
        <is>
          <t>Provento</t>
        </is>
      </c>
      <c r="D167" s="31">
        <f>'HOLERITE SET.26'!H20</f>
        <v/>
      </c>
      <c r="E167" s="36" t="n"/>
    </row>
    <row r="168">
      <c r="A168" s="27" t="inlineStr">
        <is>
          <t>CAMILA</t>
        </is>
      </c>
      <c r="B168" s="27" t="inlineStr">
        <is>
          <t>OUTROS INCENTIVOS</t>
        </is>
      </c>
      <c r="C168" s="27" t="inlineStr">
        <is>
          <t>Provento</t>
        </is>
      </c>
      <c r="D168" s="31">
        <f>'HOLERITE SET.26'!H21</f>
        <v/>
      </c>
      <c r="E168" s="36" t="n"/>
    </row>
    <row r="169">
      <c r="A169" s="37" t="inlineStr">
        <is>
          <t>CAMILA</t>
        </is>
      </c>
      <c r="B169" s="37" t="inlineStr">
        <is>
          <t>TOTAL DE PROVENTOS</t>
        </is>
      </c>
      <c r="C169" s="37" t="inlineStr">
        <is>
          <t>Subtotal</t>
        </is>
      </c>
      <c r="D169" s="38">
        <f>'HOLERITE SET.26'!H22</f>
        <v/>
      </c>
      <c r="E169" s="18" t="n"/>
    </row>
    <row r="170">
      <c r="A170" s="27" t="inlineStr">
        <is>
          <t>CAMILA</t>
        </is>
      </c>
      <c r="B170" s="27" t="inlineStr">
        <is>
          <t>ADIANTAMENTO SALARIAL / VALES</t>
        </is>
      </c>
      <c r="C170" s="27" t="inlineStr">
        <is>
          <t>Desconto</t>
        </is>
      </c>
      <c r="D170" s="31">
        <f>'HOLERITE SET.26'!H24</f>
        <v/>
      </c>
      <c r="E170" s="36" t="n"/>
    </row>
    <row r="171">
      <c r="A171" s="27" t="inlineStr">
        <is>
          <t>CAMILA</t>
        </is>
      </c>
      <c r="B171" s="27" t="inlineStr">
        <is>
          <t>ADIANT. VALES INCENT. E APLIC.</t>
        </is>
      </c>
      <c r="C171" s="27" t="inlineStr">
        <is>
          <t>Desconto</t>
        </is>
      </c>
      <c r="D171" s="31">
        <f>'HOLERITE SET.26'!H25</f>
        <v/>
      </c>
      <c r="E171" s="36" t="n"/>
    </row>
    <row r="172">
      <c r="A172" s="27" t="inlineStr">
        <is>
          <t>CAMILA</t>
        </is>
      </c>
      <c r="B172" s="27" t="inlineStr">
        <is>
          <t>CONVÊNIO</t>
        </is>
      </c>
      <c r="C172" s="27" t="inlineStr">
        <is>
          <t>Desconto</t>
        </is>
      </c>
      <c r="D172" s="31">
        <f>'HOLERITE SET.26'!H26</f>
        <v/>
      </c>
      <c r="E172" s="36" t="n"/>
    </row>
    <row r="173">
      <c r="A173" s="27" t="inlineStr">
        <is>
          <t>CAMILA</t>
        </is>
      </c>
      <c r="B173" s="27" t="inlineStr">
        <is>
          <t>DESCONTO FALTAS / ATRASOS</t>
        </is>
      </c>
      <c r="C173" s="27" t="inlineStr">
        <is>
          <t>Desconto</t>
        </is>
      </c>
      <c r="D173" s="31">
        <f>'HOLERITE SET.26'!H27</f>
        <v/>
      </c>
      <c r="E173" s="36" t="n"/>
    </row>
    <row r="174">
      <c r="A174" s="27" t="inlineStr">
        <is>
          <t>CAMILA</t>
        </is>
      </c>
      <c r="B174" s="27" t="inlineStr">
        <is>
          <t>DESCONTO VALE TRANSPORTE 6%</t>
        </is>
      </c>
      <c r="C174" s="27" t="inlineStr">
        <is>
          <t>Desconto</t>
        </is>
      </c>
      <c r="D174" s="31">
        <f>'HOLERITE SET.26'!H28</f>
        <v/>
      </c>
      <c r="E174" s="36" t="n"/>
    </row>
    <row r="175">
      <c r="A175" s="27" t="inlineStr">
        <is>
          <t>CAMILA</t>
        </is>
      </c>
      <c r="B175" s="27" t="inlineStr">
        <is>
          <t>DESCONTO INSS</t>
        </is>
      </c>
      <c r="C175" s="27" t="inlineStr">
        <is>
          <t>Desconto</t>
        </is>
      </c>
      <c r="D175" s="31">
        <f>'HOLERITE SET.26'!H29</f>
        <v/>
      </c>
      <c r="E175" s="36" t="n"/>
    </row>
    <row r="176">
      <c r="A176" s="27" t="inlineStr">
        <is>
          <t>CAMILA</t>
        </is>
      </c>
      <c r="B176" s="27" t="inlineStr">
        <is>
          <t>DESCONTO IRRF</t>
        </is>
      </c>
      <c r="C176" s="27" t="inlineStr">
        <is>
          <t>Desconto</t>
        </is>
      </c>
      <c r="D176" s="31">
        <f>'HOLERITE SET.26'!H30</f>
        <v/>
      </c>
      <c r="E176" s="36" t="n"/>
    </row>
    <row r="177">
      <c r="A177" s="37" t="inlineStr">
        <is>
          <t>CAMILA</t>
        </is>
      </c>
      <c r="B177" s="37" t="inlineStr">
        <is>
          <t>TOTAL DE DESCONTOS</t>
        </is>
      </c>
      <c r="C177" s="37" t="inlineStr">
        <is>
          <t>Subtotal</t>
        </is>
      </c>
      <c r="D177" s="38">
        <f>'HOLERITE SET.26'!H31</f>
        <v/>
      </c>
      <c r="E177" s="18" t="n"/>
    </row>
    <row r="178">
      <c r="A178" s="39" t="inlineStr">
        <is>
          <t>CAMILA</t>
        </is>
      </c>
      <c r="B178" s="40" t="inlineStr">
        <is>
          <t>LÍQUIDO A RECEBER</t>
        </is>
      </c>
      <c r="C178" s="40" t="inlineStr">
        <is>
          <t>Líquido</t>
        </is>
      </c>
      <c r="D178" s="41">
        <f>'HOLERITE SET.26'!H33</f>
        <v/>
      </c>
      <c r="E178" s="42" t="n"/>
    </row>
    <row r="180">
      <c r="A180" s="27" t="inlineStr">
        <is>
          <t>NATI</t>
        </is>
      </c>
      <c r="B180" s="27" t="inlineStr">
        <is>
          <t>SALÁRIO BASE</t>
        </is>
      </c>
      <c r="C180" s="27" t="inlineStr">
        <is>
          <t>Provento</t>
        </is>
      </c>
      <c r="D180" s="31">
        <f>'HOLERITE SET.26'!I6</f>
        <v/>
      </c>
      <c r="E180" s="36" t="n"/>
    </row>
    <row r="181">
      <c r="A181" s="27" t="inlineStr">
        <is>
          <t>NATI</t>
        </is>
      </c>
      <c r="B181" s="27" t="inlineStr">
        <is>
          <t>ADICIONAL NOTURNO</t>
        </is>
      </c>
      <c r="C181" s="27" t="inlineStr">
        <is>
          <t>Provento</t>
        </is>
      </c>
      <c r="D181" s="31">
        <f>'HOLERITE SET.26'!I7</f>
        <v/>
      </c>
      <c r="E181" s="36" t="n"/>
    </row>
    <row r="182">
      <c r="A182" s="27" t="inlineStr">
        <is>
          <t>NATI</t>
        </is>
      </c>
      <c r="B182" s="27" t="inlineStr">
        <is>
          <t>HORAS EXTRAS</t>
        </is>
      </c>
      <c r="C182" s="27" t="inlineStr">
        <is>
          <t>Provento</t>
        </is>
      </c>
      <c r="D182" s="31">
        <f>'HOLERITE SET.26'!I8</f>
        <v/>
      </c>
      <c r="E182" s="36" t="n"/>
    </row>
    <row r="183">
      <c r="A183" s="27" t="inlineStr">
        <is>
          <t>NATI</t>
        </is>
      </c>
      <c r="B183" s="27" t="inlineStr">
        <is>
          <t>COMISSÃO SOBRE VENDAS</t>
        </is>
      </c>
      <c r="C183" s="27" t="inlineStr">
        <is>
          <t>Provento</t>
        </is>
      </c>
      <c r="D183" s="31">
        <f>'HOLERITE SET.26'!I11</f>
        <v/>
      </c>
      <c r="E183" s="36" t="n"/>
    </row>
    <row r="184">
      <c r="A184" s="27" t="inlineStr">
        <is>
          <t>NATI</t>
        </is>
      </c>
      <c r="B184" s="27" t="inlineStr">
        <is>
          <t>REPOUSO REMUNERADO / DSR</t>
        </is>
      </c>
      <c r="C184" s="27" t="inlineStr">
        <is>
          <t>Provento</t>
        </is>
      </c>
      <c r="D184" s="31">
        <f>'HOLERITE SET.26'!I12</f>
        <v/>
      </c>
      <c r="E184" s="36" t="n"/>
    </row>
    <row r="185">
      <c r="A185" s="27" t="inlineStr">
        <is>
          <t>NATI</t>
        </is>
      </c>
      <c r="B185" s="27" t="inlineStr">
        <is>
          <t>AUXÍLIO GERÊNCIA</t>
        </is>
      </c>
      <c r="C185" s="27" t="inlineStr">
        <is>
          <t>Provento</t>
        </is>
      </c>
      <c r="D185" s="31">
        <f>'HOLERITE SET.26'!I13</f>
        <v/>
      </c>
      <c r="E185" s="36" t="n"/>
    </row>
    <row r="186">
      <c r="A186" s="27" t="inlineStr">
        <is>
          <t>NATI</t>
        </is>
      </c>
      <c r="B186" s="27" t="inlineStr">
        <is>
          <t>ADICIONAL PRÊMIO META CAIXA</t>
        </is>
      </c>
      <c r="C186" s="27" t="inlineStr">
        <is>
          <t>Provento</t>
        </is>
      </c>
      <c r="D186" s="31">
        <f>'HOLERITE SET.26'!I14</f>
        <v/>
      </c>
      <c r="E186" s="36" t="n"/>
    </row>
    <row r="187">
      <c r="A187" s="27" t="inlineStr">
        <is>
          <t>NATI</t>
        </is>
      </c>
      <c r="B187" s="27" t="inlineStr">
        <is>
          <t>PRÊMIO COTA GERAL</t>
        </is>
      </c>
      <c r="C187" s="27" t="inlineStr">
        <is>
          <t>Provento</t>
        </is>
      </c>
      <c r="D187" s="31">
        <f>'HOLERITE SET.26'!I15</f>
        <v/>
      </c>
      <c r="E187" s="36" t="n"/>
    </row>
    <row r="188">
      <c r="A188" s="27" t="inlineStr">
        <is>
          <t>NATI</t>
        </is>
      </c>
      <c r="B188" s="27" t="inlineStr">
        <is>
          <t>PRÊMIO PRÉ-VENCIDOS</t>
        </is>
      </c>
      <c r="C188" s="27" t="inlineStr">
        <is>
          <t>Provento</t>
        </is>
      </c>
      <c r="D188" s="31">
        <f>'HOLERITE SET.26'!I16</f>
        <v/>
      </c>
      <c r="E188" s="36" t="n"/>
    </row>
    <row r="189">
      <c r="A189" s="27" t="inlineStr">
        <is>
          <t>NATI</t>
        </is>
      </c>
      <c r="B189" s="27" t="inlineStr">
        <is>
          <t>FÉRIAS</t>
        </is>
      </c>
      <c r="C189" s="27" t="inlineStr">
        <is>
          <t>Provento</t>
        </is>
      </c>
      <c r="D189" s="31">
        <f>'HOLERITE SET.26'!I17</f>
        <v/>
      </c>
      <c r="E189" s="36" t="n"/>
    </row>
    <row r="190">
      <c r="A190" s="27" t="inlineStr">
        <is>
          <t>NATI</t>
        </is>
      </c>
      <c r="B190" s="27" t="inlineStr">
        <is>
          <t>1/3 CONSTITUCIONAL DE FÉRIAS</t>
        </is>
      </c>
      <c r="C190" s="27" t="inlineStr">
        <is>
          <t>Provento</t>
        </is>
      </c>
      <c r="D190" s="31">
        <f>'HOLERITE SET.26'!I18</f>
        <v/>
      </c>
      <c r="E190" s="36" t="n"/>
    </row>
    <row r="191">
      <c r="A191" s="27" t="inlineStr">
        <is>
          <t>NATI</t>
        </is>
      </c>
      <c r="B191" s="27" t="inlineStr">
        <is>
          <t>INCENTIVO APLICAÇÕES</t>
        </is>
      </c>
      <c r="C191" s="27" t="inlineStr">
        <is>
          <t>Provento</t>
        </is>
      </c>
      <c r="D191" s="31">
        <f>'HOLERITE SET.26'!I19</f>
        <v/>
      </c>
      <c r="E191" s="36" t="n"/>
    </row>
    <row r="192">
      <c r="A192" s="27" t="inlineStr">
        <is>
          <t>NATI</t>
        </is>
      </c>
      <c r="B192" s="27" t="inlineStr">
        <is>
          <t>INCENTIVO VITAMINAS</t>
        </is>
      </c>
      <c r="C192" s="27" t="inlineStr">
        <is>
          <t>Provento</t>
        </is>
      </c>
      <c r="D192" s="31">
        <f>'HOLERITE SET.26'!I20</f>
        <v/>
      </c>
      <c r="E192" s="36" t="n"/>
    </row>
    <row r="193">
      <c r="A193" s="27" t="inlineStr">
        <is>
          <t>NATI</t>
        </is>
      </c>
      <c r="B193" s="27" t="inlineStr">
        <is>
          <t>OUTROS INCENTIVOS</t>
        </is>
      </c>
      <c r="C193" s="27" t="inlineStr">
        <is>
          <t>Provento</t>
        </is>
      </c>
      <c r="D193" s="31">
        <f>'HOLERITE SET.26'!I21</f>
        <v/>
      </c>
      <c r="E193" s="36" t="n"/>
    </row>
    <row r="194">
      <c r="A194" s="37" t="inlineStr">
        <is>
          <t>NATI</t>
        </is>
      </c>
      <c r="B194" s="37" t="inlineStr">
        <is>
          <t>TOTAL DE PROVENTOS</t>
        </is>
      </c>
      <c r="C194" s="37" t="inlineStr">
        <is>
          <t>Subtotal</t>
        </is>
      </c>
      <c r="D194" s="38">
        <f>'HOLERITE SET.26'!I22</f>
        <v/>
      </c>
      <c r="E194" s="18" t="n"/>
    </row>
    <row r="195">
      <c r="A195" s="27" t="inlineStr">
        <is>
          <t>NATI</t>
        </is>
      </c>
      <c r="B195" s="27" t="inlineStr">
        <is>
          <t>ADIANTAMENTO SALARIAL / VALES</t>
        </is>
      </c>
      <c r="C195" s="27" t="inlineStr">
        <is>
          <t>Desconto</t>
        </is>
      </c>
      <c r="D195" s="31">
        <f>'HOLERITE SET.26'!I24</f>
        <v/>
      </c>
      <c r="E195" s="36" t="n"/>
    </row>
    <row r="196">
      <c r="A196" s="27" t="inlineStr">
        <is>
          <t>NATI</t>
        </is>
      </c>
      <c r="B196" s="27" t="inlineStr">
        <is>
          <t>ADIANT. VALES INCENT. E APLIC.</t>
        </is>
      </c>
      <c r="C196" s="27" t="inlineStr">
        <is>
          <t>Desconto</t>
        </is>
      </c>
      <c r="D196" s="31">
        <f>'HOLERITE SET.26'!I25</f>
        <v/>
      </c>
      <c r="E196" s="36" t="n"/>
    </row>
    <row r="197">
      <c r="A197" s="27" t="inlineStr">
        <is>
          <t>NATI</t>
        </is>
      </c>
      <c r="B197" s="27" t="inlineStr">
        <is>
          <t>CONVÊNIO</t>
        </is>
      </c>
      <c r="C197" s="27" t="inlineStr">
        <is>
          <t>Desconto</t>
        </is>
      </c>
      <c r="D197" s="31">
        <f>'HOLERITE SET.26'!I26</f>
        <v/>
      </c>
      <c r="E197" s="36" t="n"/>
    </row>
    <row r="198">
      <c r="A198" s="27" t="inlineStr">
        <is>
          <t>NATI</t>
        </is>
      </c>
      <c r="B198" s="27" t="inlineStr">
        <is>
          <t>DESCONTO FALTAS / ATRASOS</t>
        </is>
      </c>
      <c r="C198" s="27" t="inlineStr">
        <is>
          <t>Desconto</t>
        </is>
      </c>
      <c r="D198" s="31">
        <f>'HOLERITE SET.26'!I27</f>
        <v/>
      </c>
      <c r="E198" s="36" t="n"/>
    </row>
    <row r="199">
      <c r="A199" s="27" t="inlineStr">
        <is>
          <t>NATI</t>
        </is>
      </c>
      <c r="B199" s="27" t="inlineStr">
        <is>
          <t>DESCONTO VALE TRANSPORTE 6%</t>
        </is>
      </c>
      <c r="C199" s="27" t="inlineStr">
        <is>
          <t>Desconto</t>
        </is>
      </c>
      <c r="D199" s="31">
        <f>'HOLERITE SET.26'!I28</f>
        <v/>
      </c>
      <c r="E199" s="36" t="n"/>
    </row>
    <row r="200">
      <c r="A200" s="27" t="inlineStr">
        <is>
          <t>NATI</t>
        </is>
      </c>
      <c r="B200" s="27" t="inlineStr">
        <is>
          <t>DESCONTO INSS</t>
        </is>
      </c>
      <c r="C200" s="27" t="inlineStr">
        <is>
          <t>Desconto</t>
        </is>
      </c>
      <c r="D200" s="31">
        <f>'HOLERITE SET.26'!I29</f>
        <v/>
      </c>
      <c r="E200" s="36" t="n"/>
    </row>
    <row r="201">
      <c r="A201" s="27" t="inlineStr">
        <is>
          <t>NATI</t>
        </is>
      </c>
      <c r="B201" s="27" t="inlineStr">
        <is>
          <t>DESCONTO IRRF</t>
        </is>
      </c>
      <c r="C201" s="27" t="inlineStr">
        <is>
          <t>Desconto</t>
        </is>
      </c>
      <c r="D201" s="31">
        <f>'HOLERITE SET.26'!I30</f>
        <v/>
      </c>
      <c r="E201" s="36" t="n"/>
    </row>
    <row r="202">
      <c r="A202" s="37" t="inlineStr">
        <is>
          <t>NATI</t>
        </is>
      </c>
      <c r="B202" s="37" t="inlineStr">
        <is>
          <t>TOTAL DE DESCONTOS</t>
        </is>
      </c>
      <c r="C202" s="37" t="inlineStr">
        <is>
          <t>Subtotal</t>
        </is>
      </c>
      <c r="D202" s="38">
        <f>'HOLERITE SET.26'!I31</f>
        <v/>
      </c>
      <c r="E202" s="18" t="n"/>
    </row>
    <row r="203">
      <c r="A203" s="39" t="inlineStr">
        <is>
          <t>NATI</t>
        </is>
      </c>
      <c r="B203" s="40" t="inlineStr">
        <is>
          <t>LÍQUIDO A RECEBER</t>
        </is>
      </c>
      <c r="C203" s="40" t="inlineStr">
        <is>
          <t>Líquido</t>
        </is>
      </c>
      <c r="D203" s="41">
        <f>'HOLERITE SET.26'!I33</f>
        <v/>
      </c>
      <c r="E203" s="42" t="n"/>
    </row>
  </sheetData>
  <autoFilter ref="A4:E203"/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ARRAIAL · competência SETEMBRO/2026 · pagamento em 05/09/2026</t>
        </is>
      </c>
    </row>
    <row r="4">
      <c r="B4" s="43" t="inlineStr">
        <is>
          <t>Escolha o colaborador:</t>
        </is>
      </c>
      <c r="C4" s="44" t="inlineStr">
        <is>
          <t>DEAN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6" t="n"/>
      <c r="D6" s="26" t="n"/>
    </row>
    <row r="7">
      <c r="B7" s="27" t="inlineStr">
        <is>
          <t>Salário base</t>
        </is>
      </c>
      <c r="C7" s="31">
        <f>IFERROR(INDEX('HOLERITE SET.26'!$B$6:$I$6,1,MATCH($C$4,'HOLERITE SET.26'!$B$4:$I$4,0)),0)</f>
        <v/>
      </c>
    </row>
    <row r="8">
      <c r="B8" s="27" t="inlineStr">
        <is>
          <t>Adicional noturno</t>
        </is>
      </c>
      <c r="C8" s="31">
        <f>IFERROR(INDEX('HOLERITE SET.26'!$B$7:$I$7,1,MATCH($C$4,'HOLERITE SET.26'!$B$4:$I$4,0)),0)</f>
        <v/>
      </c>
    </row>
    <row r="9">
      <c r="B9" s="27" t="inlineStr">
        <is>
          <t>Horas extras</t>
        </is>
      </c>
      <c r="C9" s="31">
        <f>IFERROR(INDEX('HOLERITE SET.26'!$B$8:$I$8,1,MATCH($C$4,'HOLERITE SET.26'!$B$4:$I$4,0)),0)</f>
        <v/>
      </c>
    </row>
    <row r="10">
      <c r="B10" s="27" t="inlineStr">
        <is>
          <t>Comissão sobre vendas</t>
        </is>
      </c>
      <c r="C10" s="31">
        <f>IFERROR(INDEX('HOLERITE SET.26'!$B$11:$I$11,1,MATCH($C$4,'HOLERITE SET.26'!$B$4:$I$4,0)),0)</f>
        <v/>
      </c>
    </row>
    <row r="11">
      <c r="B11" s="27" t="inlineStr">
        <is>
          <t>Repouso remunerado / DSR</t>
        </is>
      </c>
      <c r="C11" s="31">
        <f>IFERROR(INDEX('HOLERITE SET.26'!$B$12:$I$12,1,MATCH($C$4,'HOLERITE SET.26'!$B$4:$I$4,0)),0)</f>
        <v/>
      </c>
    </row>
    <row r="12">
      <c r="B12" s="27" t="inlineStr">
        <is>
          <t>Auxílio gerência</t>
        </is>
      </c>
      <c r="C12" s="31">
        <f>IFERROR(INDEX('HOLERITE SET.26'!$B$13:$I$13,1,MATCH($C$4,'HOLERITE SET.26'!$B$4:$I$4,0)),0)</f>
        <v/>
      </c>
    </row>
    <row r="13">
      <c r="B13" s="27" t="inlineStr">
        <is>
          <t>Adicional prêmio meta caixa</t>
        </is>
      </c>
      <c r="C13" s="31">
        <f>IFERROR(INDEX('HOLERITE SET.26'!$B$14:$I$14,1,MATCH($C$4,'HOLERITE SET.26'!$B$4:$I$4,0)),0)</f>
        <v/>
      </c>
    </row>
    <row r="14">
      <c r="B14" s="27" t="inlineStr">
        <is>
          <t>Prêmio cota geral</t>
        </is>
      </c>
      <c r="C14" s="31">
        <f>IFERROR(INDEX('HOLERITE SET.26'!$B$15:$I$15,1,MATCH($C$4,'HOLERITE SET.26'!$B$4:$I$4,0)),0)</f>
        <v/>
      </c>
    </row>
    <row r="15">
      <c r="B15" s="27" t="inlineStr">
        <is>
          <t>Prêmio pré-vencidos</t>
        </is>
      </c>
      <c r="C15" s="31">
        <f>IFERROR(INDEX('HOLERITE SET.26'!$B$16:$I$16,1,MATCH($C$4,'HOLERITE SET.26'!$B$4:$I$4,0)),0)</f>
        <v/>
      </c>
    </row>
    <row r="16">
      <c r="B16" s="27" t="inlineStr">
        <is>
          <t>Férias</t>
        </is>
      </c>
      <c r="C16" s="31">
        <f>IFERROR(INDEX('HOLERITE SET.26'!$B$17:$I$17,1,MATCH($C$4,'HOLERITE SET.26'!$B$4:$I$4,0)),0)</f>
        <v/>
      </c>
    </row>
    <row r="17">
      <c r="B17" s="27" t="inlineStr">
        <is>
          <t>1/3 constitucional de férias</t>
        </is>
      </c>
      <c r="C17" s="31">
        <f>IFERROR(INDEX('HOLERITE SET.26'!$B$18:$I$18,1,MATCH($C$4,'HOLERITE SET.26'!$B$4:$I$4,0)),0)</f>
        <v/>
      </c>
    </row>
    <row r="18">
      <c r="B18" s="27" t="inlineStr">
        <is>
          <t>Incentivo aplicações</t>
        </is>
      </c>
      <c r="C18" s="31">
        <f>IFERROR(INDEX('HOLERITE SET.26'!$B$19:$I$19,1,MATCH($C$4,'HOLERITE SET.26'!$B$4:$I$4,0)),0)</f>
        <v/>
      </c>
    </row>
    <row r="19">
      <c r="B19" s="27" t="inlineStr">
        <is>
          <t>Incentivo vitaminas</t>
        </is>
      </c>
      <c r="C19" s="31">
        <f>IFERROR(INDEX('HOLERITE SET.26'!$B$20:$I$20,1,MATCH($C$4,'HOLERITE SET.26'!$B$4:$I$4,0)),0)</f>
        <v/>
      </c>
    </row>
    <row r="20">
      <c r="B20" s="27" t="inlineStr">
        <is>
          <t>Outros incentivos</t>
        </is>
      </c>
      <c r="C20" s="31">
        <f>IFERROR(INDEX('HOLERITE SET.26'!$B$21:$I$21,1,MATCH($C$4,'HOLERITE SET.26'!$B$4:$I$4,0)),0)</f>
        <v/>
      </c>
    </row>
    <row r="21">
      <c r="B21" s="19" t="inlineStr">
        <is>
          <t>TOTAL DE PROVENTOS</t>
        </is>
      </c>
      <c r="C21" s="38">
        <f>IFERROR(INDEX('HOLERITE SET.26'!$B$22:$I$22,1,MATCH($C$4,'HOLERITE SET.26'!$B$4:$I$4,0)),0)</f>
        <v/>
      </c>
    </row>
    <row r="22" ht="19" customHeight="1">
      <c r="B22" s="3" t="inlineStr">
        <is>
          <t>DESCONTOS</t>
        </is>
      </c>
      <c r="C22" s="26" t="n"/>
      <c r="D22" s="26" t="n"/>
    </row>
    <row r="23">
      <c r="B23" s="27" t="inlineStr">
        <is>
          <t>Adiantamento salarial / vales</t>
        </is>
      </c>
      <c r="C23" s="31">
        <f>IFERROR(INDEX('HOLERITE SET.26'!$B$24:$I$24,1,MATCH($C$4,'HOLERITE SET.26'!$B$4:$I$4,0)),0)</f>
        <v/>
      </c>
    </row>
    <row r="24">
      <c r="B24" s="27" t="inlineStr">
        <is>
          <t>Adiantamento de incentivos e aplicações</t>
        </is>
      </c>
      <c r="C24" s="31">
        <f>IFERROR(INDEX('HOLERITE SET.26'!$B$25:$I$25,1,MATCH($C$4,'HOLERITE SET.26'!$B$4:$I$4,0)),0)</f>
        <v/>
      </c>
    </row>
    <row r="25">
      <c r="B25" s="27" t="inlineStr">
        <is>
          <t>Convênio</t>
        </is>
      </c>
      <c r="C25" s="31">
        <f>IFERROR(INDEX('HOLERITE SET.26'!$B$26:$I$26,1,MATCH($C$4,'HOLERITE SET.26'!$B$4:$I$4,0)),0)</f>
        <v/>
      </c>
    </row>
    <row r="26">
      <c r="B26" s="27" t="inlineStr">
        <is>
          <t>Faltas / atrasos</t>
        </is>
      </c>
      <c r="C26" s="31">
        <f>IFERROR(INDEX('HOLERITE SET.26'!$B$27:$I$27,1,MATCH($C$4,'HOLERITE SET.26'!$B$4:$I$4,0)),0)</f>
        <v/>
      </c>
    </row>
    <row r="27">
      <c r="B27" s="27" t="inlineStr">
        <is>
          <t>Vale transporte 6%</t>
        </is>
      </c>
      <c r="C27" s="31">
        <f>IFERROR(INDEX('HOLERITE SET.26'!$B$28:$I$28,1,MATCH($C$4,'HOLERITE SET.26'!$B$4:$I$4,0)),0)</f>
        <v/>
      </c>
    </row>
    <row r="28">
      <c r="B28" s="27" t="inlineStr">
        <is>
          <t>INSS</t>
        </is>
      </c>
      <c r="C28" s="31">
        <f>IFERROR(INDEX('HOLERITE SET.26'!$B$29:$I$29,1,MATCH($C$4,'HOLERITE SET.26'!$B$4:$I$4,0)),0)</f>
        <v/>
      </c>
    </row>
    <row r="29">
      <c r="B29" s="27" t="inlineStr">
        <is>
          <t>IRRF</t>
        </is>
      </c>
      <c r="C29" s="31">
        <f>IFERROR(INDEX('HOLERITE SET.26'!$B$30:$I$30,1,MATCH($C$4,'HOLERITE SET.26'!$B$4:$I$4,0)),0)</f>
        <v/>
      </c>
    </row>
    <row r="30">
      <c r="B30" s="19" t="inlineStr">
        <is>
          <t>TOTAL DE DESCONTOS</t>
        </is>
      </c>
      <c r="C30" s="38">
        <f>IFERROR(INDEX('HOLERITE SET.26'!$B$31:$I$31,1,MATCH($C$4,'HOLERITE SET.26'!$B$4:$I$4,0)),0)</f>
        <v/>
      </c>
    </row>
    <row r="31" ht="19" customHeight="1">
      <c r="B31" s="3" t="inlineStr">
        <is>
          <t>LÍQUIDO</t>
        </is>
      </c>
      <c r="C31" s="26" t="n"/>
      <c r="D31" s="26" t="n"/>
    </row>
    <row r="32" ht="22" customHeight="1">
      <c r="B32" s="45" t="inlineStr">
        <is>
          <t>LÍQUIDO A RECEBER EM 05/10/2026</t>
        </is>
      </c>
      <c r="C32" s="46">
        <f>IFERROR(INDEX('HOLERITE SET.26'!$B$33:$I$33,1,MATCH($C$4,'HOLERITE SET.26'!$B$4:$I$4,0)),0)</f>
        <v/>
      </c>
    </row>
    <row r="34">
      <c r="B34" s="47" t="inlineStr">
        <is>
          <t>Vendas do colaborador no mês (InovaFarma):</t>
        </is>
      </c>
    </row>
    <row r="35">
      <c r="B35" s="27" t="inlineStr">
        <is>
          <t>Venda bruta</t>
        </is>
      </c>
      <c r="C35" s="31">
        <f>IFERROR(INDEX('BASE INOVAFARMA SET.26'!$C$5:$C$12,MATCH($C$4,'BASE INOVAFARMA SET.26'!$B$5:$B$12,0)),0)</f>
        <v/>
      </c>
    </row>
    <row r="36">
      <c r="B36" s="27" t="inlineStr">
        <is>
          <t>Descontos concedidos</t>
        </is>
      </c>
      <c r="C36" s="31">
        <f>IFERROR(INDEX('BASE INOVAFARMA SET.26'!$D$5:$D$12,MATCH($C$4,'BASE INOVAFARMA SET.26'!$B$5:$B$12,0)),0)</f>
        <v/>
      </c>
    </row>
    <row r="37">
      <c r="B37" s="27" t="inlineStr">
        <is>
          <t>Venda líquida</t>
        </is>
      </c>
      <c r="C37" s="31">
        <f>IFERROR(INDEX('BASE INOVAFARMA SET.26'!$E$5:$E$12,MATCH($C$4,'BASE INOVAFARMA SET.26'!$B$5:$B$12,0)),0)</f>
        <v/>
      </c>
    </row>
    <row r="38">
      <c r="B38" s="27" t="inlineStr">
        <is>
          <t>Comissão apurada</t>
        </is>
      </c>
      <c r="C38" s="31">
        <f>IFERROR(INDEX('BASE INOVAFARMA SET.26'!$F$5:$F$12,MATCH($C$4,'BASE INOVAFARMA SET.26'!$B$5:$B$12,0)),0)</f>
        <v/>
      </c>
    </row>
    <row r="39">
      <c r="B39" s="27" t="inlineStr">
        <is>
          <t>Total de incentivos</t>
        </is>
      </c>
      <c r="C39" s="31">
        <f>IFERROR(INDEX('BASE INOVAFARMA SET.26'!$J$5:$J$12,MATCH($C$4,'BASE INOVAFARMA SET.26'!$B$5:$B$12,0)),0)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SET.26.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"DEAN,AGNOR,EDEY,JOEL,VALÉRIA,SARA,CAMILA,NATI"</formula1>
    </dataValidation>
  </dataValidations>
  <pageMargins left="0.75" right="0.75" top="1" bottom="1" header="0.5" footer="0.5"/>
  <pageSetup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ARRAIAL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EDEY</t>
        </is>
      </c>
      <c r="B5" s="27" t="inlineStr">
        <is>
          <t>Adicional noturno (valor fixo)</t>
        </is>
      </c>
      <c r="C5" s="8" t="n">
        <v>1</v>
      </c>
      <c r="D5" s="14" t="inlineStr">
        <is>
          <t>valor</t>
        </is>
      </c>
      <c r="E5" s="31">
        <f>IFERROR(INDEX('HOLERITE SET.26'!$B$6:$I$6,1,MATCH(A5,'HOLERITE SET.26'!$B$4:$I$4,0)),0)</f>
        <v/>
      </c>
      <c r="F5" s="28" t="n">
        <v>350</v>
      </c>
      <c r="G5" s="20">
        <f>ROUND(C5*F5,2)</f>
        <v/>
      </c>
      <c r="H5" s="48" t="inlineStr">
        <is>
          <t>ADICIONAL NOTURNO</t>
        </is>
      </c>
      <c r="I5" s="30" t="inlineStr">
        <is>
          <t>Adicional noturno lançado como valor fixo desde jul/26 — CONFERIR com o apontamento do ponto.</t>
        </is>
      </c>
    </row>
    <row r="6">
      <c r="A6" s="15" t="inlineStr">
        <is>
          <t>JOEL</t>
        </is>
      </c>
      <c r="B6" s="27" t="inlineStr">
        <is>
          <t>Registro informativo</t>
        </is>
      </c>
      <c r="C6" s="8" t="n">
        <v>3</v>
      </c>
      <c r="D6" s="14" t="inlineStr">
        <is>
          <t>dias</t>
        </is>
      </c>
      <c r="E6" s="31">
        <f>IFERROR(INDEX('HOLERITE SET.26'!$B$6:$I$6,1,MATCH(A6,'HOLERITE SET.26'!$B$4:$I$4,0)),0)</f>
        <v/>
      </c>
      <c r="F6" s="32" t="n">
        <v>0</v>
      </c>
      <c r="G6" s="20">
        <f>ROUND(C6*F6,2)</f>
        <v/>
      </c>
      <c r="H6" s="48" t="inlineStr">
        <is>
          <t>—</t>
        </is>
      </c>
      <c r="I6" s="30" t="inlineStr">
        <is>
          <t>Férias de 01 a 03/09/2026 (fim do período iniciado em 04/08), já pagas no recibo de agosto — nada a pagar aqui. Ele voltou ao trabalho em 04/09.</t>
        </is>
      </c>
    </row>
    <row r="7">
      <c r="A7" s="49" t="n"/>
      <c r="B7" s="49" t="n"/>
      <c r="C7" s="49" t="n"/>
      <c r="D7" s="49" t="n"/>
      <c r="E7" s="31">
        <f>IFERROR(INDEX('HOLERITE SET.26'!$B$6:$I$6,1,MATCH(A7,'HOLERITE SET.26'!$B$4:$I$4,0)),0)</f>
        <v/>
      </c>
      <c r="F7" s="33" t="n"/>
      <c r="G7" s="20">
        <f>ROUND(C7*F7,2)</f>
        <v/>
      </c>
      <c r="H7" s="49" t="n"/>
      <c r="I7" s="49" t="n"/>
    </row>
    <row r="8">
      <c r="A8" s="49" t="n"/>
      <c r="B8" s="49" t="n"/>
      <c r="C8" s="49" t="n"/>
      <c r="D8" s="49" t="n"/>
      <c r="E8" s="31">
        <f>IFERROR(INDEX('HOLERITE SET.26'!$B$6:$I$6,1,MATCH(A8,'HOLERITE SET.26'!$B$4:$I$4,0)),0)</f>
        <v/>
      </c>
      <c r="F8" s="33" t="n"/>
      <c r="G8" s="20">
        <f>ROUND(C8*F8,2)</f>
        <v/>
      </c>
      <c r="H8" s="49" t="n"/>
      <c r="I8" s="49" t="n"/>
    </row>
    <row r="9">
      <c r="A9" s="49" t="n"/>
      <c r="B9" s="49" t="n"/>
      <c r="C9" s="49" t="n"/>
      <c r="D9" s="49" t="n"/>
      <c r="E9" s="31">
        <f>IFERROR(INDEX('HOLERITE SET.26'!$B$6:$I$6,1,MATCH(A9,'HOLERITE SET.26'!$B$4:$I$4,0)),0)</f>
        <v/>
      </c>
      <c r="F9" s="33" t="n"/>
      <c r="G9" s="20">
        <f>ROUND(C9*F9,2)</f>
        <v/>
      </c>
      <c r="H9" s="49" t="n"/>
      <c r="I9" s="49" t="n"/>
    </row>
    <row r="10">
      <c r="A10" s="49" t="n"/>
      <c r="B10" s="49" t="n"/>
      <c r="C10" s="49" t="n"/>
      <c r="D10" s="49" t="n"/>
      <c r="E10" s="31">
        <f>IFERROR(INDEX('HOLERITE SET.26'!$B$6:$I$6,1,MATCH(A10,'HOLERITE SET.26'!$B$4:$I$4,0)),0)</f>
        <v/>
      </c>
      <c r="F10" s="33" t="n"/>
      <c r="G10" s="20">
        <f>ROUND(C10*F10,2)</f>
        <v/>
      </c>
      <c r="H10" s="49" t="n"/>
      <c r="I10" s="49" t="n"/>
    </row>
    <row r="11">
      <c r="A11" s="49" t="n"/>
      <c r="B11" s="49" t="n"/>
      <c r="C11" s="49" t="n"/>
      <c r="D11" s="49" t="n"/>
      <c r="E11" s="31">
        <f>IFERROR(INDEX('HOLERITE SET.26'!$B$6:$I$6,1,MATCH(A11,'HOLERITE SET.26'!$B$4:$I$4,0)),0)</f>
        <v/>
      </c>
      <c r="F11" s="33" t="n"/>
      <c r="G11" s="20">
        <f>ROUND(C11*F11,2)</f>
        <v/>
      </c>
      <c r="H11" s="49" t="n"/>
      <c r="I11" s="49" t="n"/>
    </row>
    <row r="12">
      <c r="A12" s="49" t="n"/>
      <c r="B12" s="49" t="n"/>
      <c r="C12" s="49" t="n"/>
      <c r="D12" s="49" t="n"/>
      <c r="E12" s="31">
        <f>IFERROR(INDEX('HOLERITE SET.26'!$B$6:$I$6,1,MATCH(A12,'HOLERITE SET.26'!$B$4:$I$4,0)),0)</f>
        <v/>
      </c>
      <c r="F12" s="33" t="n"/>
      <c r="G12" s="20">
        <f>ROUND(C12*F12,2)</f>
        <v/>
      </c>
      <c r="H12" s="49" t="n"/>
      <c r="I12" s="49" t="n"/>
    </row>
    <row r="13">
      <c r="A13" s="49" t="n"/>
      <c r="B13" s="49" t="n"/>
      <c r="C13" s="49" t="n"/>
      <c r="D13" s="49" t="n"/>
      <c r="E13" s="31">
        <f>IFERROR(INDEX('HOLERITE SET.26'!$B$6:$I$6,1,MATCH(A13,'HOLERITE SET.26'!$B$4:$I$4,0)),0)</f>
        <v/>
      </c>
      <c r="F13" s="33" t="n"/>
      <c r="G13" s="20">
        <f>ROUND(C13*F13,2)</f>
        <v/>
      </c>
      <c r="H13" s="49" t="n"/>
      <c r="I13" s="49" t="n"/>
    </row>
    <row r="14">
      <c r="A14" s="49" t="n"/>
      <c r="B14" s="49" t="n"/>
      <c r="C14" s="49" t="n"/>
      <c r="D14" s="49" t="n"/>
      <c r="E14" s="31">
        <f>IFERROR(INDEX('HOLERITE SET.26'!$B$6:$I$6,1,MATCH(A14,'HOLERITE SET.26'!$B$4:$I$4,0)),0)</f>
        <v/>
      </c>
      <c r="F14" s="33" t="n"/>
      <c r="G14" s="20">
        <f>ROUND(C14*F14,2)</f>
        <v/>
      </c>
      <c r="H14" s="49" t="n"/>
      <c r="I14" s="49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SET.26.</t>
        </is>
      </c>
    </row>
  </sheetData>
  <autoFilter ref="A4:I14"/>
  <mergeCells count="6">
    <mergeCell ref="A19:I19"/>
    <mergeCell ref="A2:I2"/>
    <mergeCell ref="A1:I1"/>
    <mergeCell ref="A17:I17"/>
    <mergeCell ref="A18:I18"/>
    <mergeCell ref="A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2026-09-04T20:06:38Z</dcterms:created>
  <dcterms:modified xsi:type="dcterms:W3CDTF">2026-09-04T20:06:38Z</dcterms:modified>
</cp:coreProperties>
</file>