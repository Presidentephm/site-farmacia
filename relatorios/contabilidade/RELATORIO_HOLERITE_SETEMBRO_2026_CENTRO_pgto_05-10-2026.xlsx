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SET.26'!$A$4:$I$37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SET.26'!$A$4:$I$15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PEDRO: registrado na empresa matriz; salário de R$ 4.000,00 a partir de setembro/2026.</t>
        </is>
      </c>
    </row>
    <row r="24" ht="17" customHeight="1">
      <c r="A24" s="4" t="inlineStr"/>
      <c r="B24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5" ht="17" customHeight="1">
      <c r="A25" s="4" t="inlineStr"/>
      <c r="B25" s="5" t="inlineStr">
        <is>
          <t>RENALDO: férias de 01 a 30/09/2026 (mês inteiro) — salário zerado e sem desconto de vale-transporte; férias e 1/3 em recibo próprio.</t>
        </is>
      </c>
    </row>
    <row r="26" ht="17" customHeight="1">
      <c r="A26" s="4" t="inlineStr"/>
      <c r="B26" s="5" t="inlineStr">
        <is>
          <t>SERGIO e ANA CELIA seguem como folguistas (diária de R$ 150,00 e R$ 100,00), na aba FOLGUISTAS.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CELIA.</t>
        </is>
      </c>
    </row>
    <row r="34" ht="17" customHeight="1">
      <c r="A34" s="4" t="inlineStr">
        <is>
          <t>•</t>
        </is>
      </c>
      <c r="B34" s="6" t="inlineStr">
        <is>
          <t>Feriado trabalhado está a 1 salário-dia (R$ 54,03). Em agosto a Betel lançou o feriado como 4h53 de hora extra a 50% (R$ 53,97) — alinhar o critério.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  <row r="44" ht="17" customHeight="1">
      <c r="A44" s="4" t="inlineStr"/>
      <c r="B44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4000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SET.26'!$G$5:$G$15,'PONTO SET.26'!$A$5:$A$15,B$4,'PONTO SET.26'!$H$5:$H$15,"ADICIONAL NOTURNO")</f>
        <v/>
      </c>
      <c r="C7" s="34">
        <f>SUMIFS('PONTO SET.26'!$G$5:$G$15,'PONTO SET.26'!$A$5:$A$15,C$4,'PONTO SET.26'!$H$5:$H$15,"ADICIONAL NOTURNO")</f>
        <v/>
      </c>
      <c r="D7" s="34">
        <f>SUMIFS('PONTO SET.26'!$G$5:$G$15,'PONTO SET.26'!$A$5:$A$15,D$4,'PONTO SET.26'!$H$5:$H$15,"ADICIONAL NOTURNO")</f>
        <v/>
      </c>
      <c r="E7" s="34">
        <f>SUMIFS('PONTO SET.26'!$G$5:$G$15,'PONTO SET.26'!$A$5:$A$15,E$4,'PONTO SET.26'!$H$5:$H$15,"ADICIONAL NOTURNO")</f>
        <v/>
      </c>
      <c r="F7" s="34">
        <f>SUMIFS('PONTO SET.26'!$G$5:$G$15,'PONTO SET.26'!$A$5:$A$15,F$4,'PONTO SET.26'!$H$5:$H$15,"ADICIONAL NOTURNO")</f>
        <v/>
      </c>
      <c r="G7" s="34">
        <f>SUMIFS('PONTO SET.26'!$G$5:$G$15,'PONTO SET.26'!$A$5:$A$15,G$4,'PONTO SET.26'!$H$5:$H$15,"ADICIONAL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SET.26'!$G$5:$G$15,'PONTO SET.26'!$A$5:$A$15,B$4,'PONTO SET.26'!$H$5:$H$15,"HORAS EXTRAS")</f>
        <v/>
      </c>
      <c r="C8" s="34">
        <f>SUMIFS('PONTO SET.26'!$G$5:$G$15,'PONTO SET.26'!$A$5:$A$15,C$4,'PONTO SET.26'!$H$5:$H$15,"HORAS EXTRAS")</f>
        <v/>
      </c>
      <c r="D8" s="34">
        <f>SUMIFS('PONTO SET.26'!$G$5:$G$15,'PONTO SET.26'!$A$5:$A$15,D$4,'PONTO SET.26'!$H$5:$H$15,"HORAS EXTRAS")</f>
        <v/>
      </c>
      <c r="E8" s="34">
        <f>SUMIFS('PONTO SET.26'!$G$5:$G$15,'PONTO SET.26'!$A$5:$A$15,E$4,'PONTO SET.26'!$H$5:$H$15,"HORAS EXTRAS")</f>
        <v/>
      </c>
      <c r="F8" s="34">
        <f>SUMIFS('PONTO SET.26'!$G$5:$G$15,'PONTO SET.26'!$A$5:$A$15,F$4,'PONTO SET.26'!$H$5:$H$15,"HORAS EXTRAS")</f>
        <v/>
      </c>
      <c r="G8" s="34">
        <f>SUMIFS('PONTO SET.26'!$G$5:$G$15,'PONTO SET.26'!$A$5:$A$15,G$4,'PONTO SET.26'!$H$5:$H$15,"HORAS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(4 domingos + feriados de 07/09 e 08/09) ÷ 24 dias úteis de setembro/2026.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SALARIAL / VALES</t>
        </is>
      </c>
      <c r="B24" s="35" t="n"/>
      <c r="C24" s="35" t="n"/>
      <c r="D24" s="35" t="n">
        <v>-500</v>
      </c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 GENECIR: adiantamento de R$ 500,00 em 09/09/2026.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/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>
        <v>270</v>
      </c>
      <c r="E35" s="35" t="n"/>
      <c r="F35" s="35" t="n"/>
      <c r="G35" s="35" t="n"/>
      <c r="H35" s="20">
        <f>SUM(B35:G35)</f>
        <v/>
      </c>
      <c r="I35" s="33" t="inlineStr">
        <is>
          <t>PREENCHER com as passagens compradas. GENECIR: R$ 270,00 de vale-transporte.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7">
      <c r="A37" s="30" t="inlineStr">
        <is>
          <t>FÉRIAS PAGAS À PARTE (CONTAS A PAGAR)</t>
        </is>
      </c>
      <c r="B37" s="31" t="n"/>
      <c r="C37" s="31" t="n"/>
      <c r="D37" s="31" t="n"/>
      <c r="E37" s="31" t="n"/>
      <c r="F37" s="31" t="n"/>
      <c r="G37" s="31" t="n"/>
      <c r="H37" s="32">
        <f>SUM(B37:G37)</f>
        <v/>
      </c>
      <c r="I37" s="33" t="inlineStr">
        <is>
          <t>Recibo de férias pago fora do holerite — lembrete para o contas a pagar. RENALDO: férias de 01 a 30/09/2026 — informar o valor do recibo.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I37"/>
  <mergeCells count="7">
    <mergeCell ref="A2:I2"/>
    <mergeCell ref="B39:I39"/>
    <mergeCell ref="A1:I1"/>
    <mergeCell ref="B42:I42"/>
    <mergeCell ref="B43:I43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30" t="inlineStr">
        <is>
          <t>Feriado trabalhado (dobra)</t>
        </is>
      </c>
      <c r="C6" s="8" t="n">
        <v>2</v>
      </c>
      <c r="D6" s="14" t="inlineStr">
        <is>
          <t>dias</t>
        </is>
      </c>
      <c r="E6" s="34">
        <f>IFERROR(INDEX('HOLERITE SET.26'!$B$6:$G$6,1,MATCH(A6,'HOLERITE SET.26'!$B$4:$G$4,0)),0)</f>
        <v/>
      </c>
      <c r="F6" s="36">
        <f>ROUND(E6/PARÂMETROS!$B$19,2)</f>
        <v/>
      </c>
      <c r="G6" s="20">
        <f>ROUND(C6*F6,2)</f>
        <v/>
      </c>
      <c r="H6" s="51" t="inlineStr">
        <is>
          <t>HORAS EXTRAS</t>
        </is>
      </c>
      <c r="I6" s="33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30" t="inlineStr">
        <is>
          <t>Registro informativo</t>
        </is>
      </c>
      <c r="C7" s="8" t="n">
        <v>30</v>
      </c>
      <c r="D7" s="14" t="inlineStr">
        <is>
          <t>dias</t>
        </is>
      </c>
      <c r="E7" s="34">
        <f>IFERROR(INDEX('HOLERITE SET.26'!$B$6:$G$6,1,MATCH(A7,'HOLERITE SET.26'!$B$4:$G$4,0)),0)</f>
        <v/>
      </c>
      <c r="F7" s="36" t="n">
        <v>0</v>
      </c>
      <c r="G7" s="20">
        <f>ROUND(C7*F7,2)</f>
        <v/>
      </c>
      <c r="H7" s="51" t="inlineStr">
        <is>
          <t>—</t>
        </is>
      </c>
      <c r="I7" s="33" t="inlineStr">
        <is>
          <t>Férias de 01 a 30/09/2026 — mês inteiro. Salário zerado no holerite; férias e 1/3 vão em recibo próprio.</t>
        </is>
      </c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52" t="n"/>
      <c r="B14" s="52" t="n"/>
      <c r="C14" s="52" t="n"/>
      <c r="D14" s="52" t="n"/>
      <c r="E14" s="34">
        <f>IFERROR(INDEX('HOLERITE SET.26'!$B$6:$G$6,1,MATCH(A14,'HOLERITE SET.26'!$B$4:$G$4,0)),0)</f>
        <v/>
      </c>
      <c r="F14" s="35" t="n"/>
      <c r="G14" s="20">
        <f>ROUND(C14*F14,2)</f>
        <v/>
      </c>
      <c r="H14" s="52" t="n"/>
      <c r="I14" s="52" t="n"/>
    </row>
    <row r="15">
      <c r="A15" s="52" t="n"/>
      <c r="B15" s="52" t="n"/>
      <c r="C15" s="52" t="n"/>
      <c r="D15" s="52" t="n"/>
      <c r="E15" s="34">
        <f>IFERROR(INDEX('HOLERITE SET.26'!$B$6:$G$6,1,MATCH(A15,'HOLERITE SET.26'!$B$4:$G$4,0)),0)</f>
        <v/>
      </c>
      <c r="F15" s="35" t="n"/>
      <c r="G15" s="20">
        <f>ROUND(C15*F15,2)</f>
        <v/>
      </c>
      <c r="H15" s="52" t="n"/>
      <c r="I15" s="52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2026-10-02T21:37:56Z</dcterms:created>
  <dcterms:modified xsi:type="dcterms:W3CDTF">2026-10-02T21:37:57Z</dcterms:modified>
</cp:coreProperties>
</file>