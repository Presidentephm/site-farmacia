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  <sheet name="FOLGUISTAS" sheetId="8" state="visible" r:id="rId8"/>
  </sheets>
  <definedNames>
    <definedName name="_xlnm._FilterDatabase" localSheetId="2" hidden="1">'BASE INOVAFARMA SET.26'!$A$4:$J$10</definedName>
    <definedName name="_xlnm._FilterDatabase" localSheetId="3" hidden="1">'HOLERITE SET.26'!$A$4:$I$37</definedName>
    <definedName name="_xlnm._FilterDatabase" localSheetId="4" hidden="1">'LISTA CONTABILIDADE'!$A$4:$E$153</definedName>
    <definedName name="_xlnm.Print_Area" localSheetId="5">'GANHOS DO COLABORADOR'!$A$1:$D$44</definedName>
    <definedName name="_xlnm._FilterDatabase" localSheetId="6" hidden="1">'PONTO SET.26'!$A$4:$I$14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GENECIR: voltou das férias, salário integral em setembro.</t>
        </is>
      </c>
    </row>
    <row r="24" ht="17" customHeight="1">
      <c r="A24" s="4" t="inlineStr"/>
      <c r="B24" s="5" t="inlineStr">
        <is>
          <t>RENALDO: férias de 01 a 30/09/2026 (mês inteiro) — salário zerado e sem desconto de vale-transporte; férias e 1/3 em recibo próprio.</t>
        </is>
      </c>
    </row>
    <row r="25" ht="17" customHeight="1">
      <c r="A25" s="4" t="inlineStr"/>
      <c r="B25" s="5" t="inlineStr">
        <is>
          <t>SERGIO e ANA CELIA seguem como folguistas (diária de R$ 150,00 e R$ 100,00), na aba FOLGUISTAS.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Preencher a quantidade de diárias de SERGIO e ANA CELIA.</t>
        </is>
      </c>
    </row>
    <row r="33" ht="20" customHeight="1">
      <c r="A33" s="3" t="inlineStr">
        <is>
          <t>OBSERVAÇÃO TÉCNICA</t>
        </is>
      </c>
    </row>
    <row r="34" ht="17" customHeight="1">
      <c r="A34" s="4" t="inlineStr"/>
      <c r="B34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5" ht="20" customHeight="1">
      <c r="A35" s="3" t="inlineStr">
        <is>
          <t>ABAS DO ARQUIVO</t>
        </is>
      </c>
    </row>
    <row r="36" ht="17" customHeight="1">
      <c r="A36" s="4" t="inlineStr"/>
      <c r="B36" s="5" t="inlineStr">
        <is>
          <t>HOLERITE SET.26 — relatório principal da competência setembro/2026.</t>
        </is>
      </c>
    </row>
    <row r="37" ht="17" customHeight="1">
      <c r="A37" s="4" t="inlineStr"/>
      <c r="B37" s="5" t="inlineStr">
        <is>
          <t>GANHOS DO COLABORADOR — demonstrativo individual, pronto para imprimir/mandar.</t>
        </is>
      </c>
    </row>
    <row r="38" ht="17" customHeight="1">
      <c r="A38" s="4" t="inlineStr"/>
      <c r="B38" s="5" t="inlineStr">
        <is>
          <t>LISTA CONTABILIDADE — os mesmos lançamentos em formato de lista.</t>
        </is>
      </c>
    </row>
    <row r="39" ht="17" customHeight="1">
      <c r="A39" s="4" t="inlineStr"/>
      <c r="B39" s="5" t="inlineStr">
        <is>
          <t>BASE INOVAFARMA SET.26 — apuração de comissões e incentivos por vendedor.</t>
        </is>
      </c>
    </row>
    <row r="40" ht="17" customHeight="1">
      <c r="A40" s="4" t="inlineStr"/>
      <c r="B40" s="5" t="inlineStr">
        <is>
          <t>PARÂMETROS — calendário do mês, fator do DSR e valores fixos.</t>
        </is>
      </c>
    </row>
    <row r="41" ht="17" customHeight="1">
      <c r="A41" s="4" t="inlineStr"/>
      <c r="B41" s="5" t="inlineStr">
        <is>
          <t>PONTO SET.26 — horas extras, adicional noturno e feriado trabalhado; alimenta o holerite.</t>
        </is>
      </c>
    </row>
    <row r="42" ht="17" customHeight="1">
      <c r="A42" s="4" t="inlineStr"/>
      <c r="B42" s="5" t="inlineStr">
        <is>
          <t>FOLGUISTAS — diárias de SERGIO e ANA CELIA para o contas a pagar (fora do holerite).</t>
        </is>
      </c>
    </row>
  </sheetData>
  <mergeCells count="9">
    <mergeCell ref="A4:B4"/>
    <mergeCell ref="A26:B26"/>
    <mergeCell ref="A21:B21"/>
    <mergeCell ref="A2:B2"/>
    <mergeCell ref="A33:B33"/>
    <mergeCell ref="A10:B10"/>
    <mergeCell ref="A1:B1"/>
    <mergeCell ref="A17:B1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ago/2026. CONFERIR admissões, afastamentos e férias do mês.</t>
        </is>
      </c>
    </row>
    <row r="7">
      <c r="A7" s="30" t="inlineStr">
        <is>
          <t>ADICIONAL NOTURNO</t>
        </is>
      </c>
      <c r="B7" s="34">
        <f>SUMIFS('PONTO SET.26'!$G$5:$G$14,'PONTO SET.26'!$A$5:$A$14,B$4,'PONTO SET.26'!$H$5:$H$14,"ADICIONAL NOTURNO")</f>
        <v/>
      </c>
      <c r="C7" s="34">
        <f>SUMIFS('PONTO SET.26'!$G$5:$G$14,'PONTO SET.26'!$A$5:$A$14,C$4,'PONTO SET.26'!$H$5:$H$14,"ADICIONAL NOTURNO")</f>
        <v/>
      </c>
      <c r="D7" s="34">
        <f>SUMIFS('PONTO SET.26'!$G$5:$G$14,'PONTO SET.26'!$A$5:$A$14,D$4,'PONTO SET.26'!$H$5:$H$14,"ADICIONAL NOTURNO")</f>
        <v/>
      </c>
      <c r="E7" s="34">
        <f>SUMIFS('PONTO SET.26'!$G$5:$G$14,'PONTO SET.26'!$A$5:$A$14,E$4,'PONTO SET.26'!$H$5:$H$14,"ADICIONAL NOTURNO")</f>
        <v/>
      </c>
      <c r="F7" s="34">
        <f>SUMIFS('PONTO SET.26'!$G$5:$G$14,'PONTO SET.26'!$A$5:$A$14,F$4,'PONTO SET.26'!$H$5:$H$14,"ADICIONAL NOTURNO")</f>
        <v/>
      </c>
      <c r="G7" s="34">
        <f>SUMIFS('PONTO SET.26'!$G$5:$G$14,'PONTO SET.26'!$A$5:$A$14,G$4,'PONTO SET.26'!$H$5:$H$14,"ADICIONAL NOTURNO")</f>
        <v/>
      </c>
      <c r="H7" s="20">
        <f>SUM(B7:G7)</f>
        <v/>
      </c>
      <c r="I7" s="33" t="inlineStr">
        <is>
          <t>Somado automaticamente da aba PONTO SET.26 (apontamento de setembro/2026). Para mudar, edite lá.</t>
        </is>
      </c>
    </row>
    <row r="8">
      <c r="A8" s="30" t="inlineStr">
        <is>
          <t>HORAS EXTRAS</t>
        </is>
      </c>
      <c r="B8" s="34">
        <f>SUMIFS('PONTO SET.26'!$G$5:$G$14,'PONTO SET.26'!$A$5:$A$14,B$4,'PONTO SET.26'!$H$5:$H$14,"HORAS EXTRAS")</f>
        <v/>
      </c>
      <c r="C8" s="34">
        <f>SUMIFS('PONTO SET.26'!$G$5:$G$14,'PONTO SET.26'!$A$5:$A$14,C$4,'PONTO SET.26'!$H$5:$H$14,"HORAS EXTRAS")</f>
        <v/>
      </c>
      <c r="D8" s="34">
        <f>SUMIFS('PONTO SET.26'!$G$5:$G$14,'PONTO SET.26'!$A$5:$A$14,D$4,'PONTO SET.26'!$H$5:$H$14,"HORAS EXTRAS")</f>
        <v/>
      </c>
      <c r="E8" s="34">
        <f>SUMIFS('PONTO SET.26'!$G$5:$G$14,'PONTO SET.26'!$A$5:$A$14,E$4,'PONTO SET.26'!$H$5:$H$14,"HORAS EXTRAS")</f>
        <v/>
      </c>
      <c r="F8" s="34">
        <f>SUMIFS('PONTO SET.26'!$G$5:$G$14,'PONTO SET.26'!$A$5:$A$14,F$4,'PONTO SET.26'!$H$5:$H$14,"HORAS EXTRAS")</f>
        <v/>
      </c>
      <c r="G8" s="34">
        <f>SUMIFS('PONTO SET.26'!$G$5:$G$14,'PONTO SET.26'!$A$5:$A$14,G$4,'PONTO SET.26'!$H$5:$H$14,"HORAS EXTRAS")</f>
        <v/>
      </c>
      <c r="H8" s="20">
        <f>SUM(B8:G8)</f>
        <v/>
      </c>
      <c r="I8" s="33" t="inlineStr">
        <is>
          <t>Somado automaticamente da aba PONTO SET.26 (apontamento de setembro/2026).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SET.26).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(4 domingos + feriado 07/09) ÷ 25 dias úteis de setembro/2026.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setembro.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SET.26'!G5</f>
        <v/>
      </c>
      <c r="C19" s="34">
        <f>'BASE INOVAFARMA SET.26'!G6</f>
        <v/>
      </c>
      <c r="D19" s="34">
        <f>'BASE INOVAFARMA SET.26'!G7</f>
        <v/>
      </c>
      <c r="E19" s="34">
        <f>'BASE INOVAFARMA SET.26'!G8</f>
        <v/>
      </c>
      <c r="F19" s="34">
        <f>'BASE INOVAFARMA SET.26'!G9</f>
        <v/>
      </c>
      <c r="G19" s="34">
        <f>'BASE INOVAFARMA SET.26'!G10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SET.26'!H5</f>
        <v/>
      </c>
      <c r="C20" s="34">
        <f>'BASE INOVAFARMA SET.26'!H6</f>
        <v/>
      </c>
      <c r="D20" s="34">
        <f>'BASE INOVAFARMA SET.26'!H7</f>
        <v/>
      </c>
      <c r="E20" s="34">
        <f>'BASE INOVAFARMA SET.26'!H8</f>
        <v/>
      </c>
      <c r="F20" s="34">
        <f>'BASE INOVAFARMA SET.26'!H9</f>
        <v/>
      </c>
      <c r="G20" s="34">
        <f>'BASE INOVAFARMA SET.26'!H10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SET.26'!I5</f>
        <v/>
      </c>
      <c r="C21" s="34">
        <f>'BASE INOVAFARMA SET.26'!I6</f>
        <v/>
      </c>
      <c r="D21" s="34">
        <f>'BASE INOVAFARMA SET.26'!I7</f>
        <v/>
      </c>
      <c r="E21" s="34">
        <f>'BASE INOVAFARMA SET.26'!I8</f>
        <v/>
      </c>
      <c r="F21" s="34">
        <f>'BASE INOVAFARMA SET.26'!I9</f>
        <v/>
      </c>
      <c r="G21" s="34">
        <f>'BASE INOVAFARMA SET.26'!I10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SALARIAL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setembro.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setembro.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/>
      <c r="F28" s="31" t="n">
        <v>-84.29000000000001</v>
      </c>
      <c r="G28" s="31" t="n"/>
      <c r="H28" s="32">
        <f>SUM(B28:G28)</f>
        <v/>
      </c>
      <c r="I28" s="33" t="inlineStr">
        <is>
          <t>Valores praticados em ago/26.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(05/10/2026)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out/26)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outubro/2026.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7">
      <c r="A37" s="30" t="inlineStr">
        <is>
          <t>FÉRIAS PAGAS À PARTE (CONTAS A PAGAR)</t>
        </is>
      </c>
      <c r="B37" s="31" t="n"/>
      <c r="C37" s="31" t="n"/>
      <c r="D37" s="31" t="n"/>
      <c r="E37" s="31" t="n"/>
      <c r="F37" s="31" t="n"/>
      <c r="G37" s="31" t="n"/>
      <c r="H37" s="32">
        <f>SUM(B37:G37)</f>
        <v/>
      </c>
      <c r="I37" s="33" t="inlineStr">
        <is>
          <t>Recibo de férias pago fora do holerite — lembrete para o contas a pagar. RENALDO: férias de 01 a 30/09/2026 — informar o valor do recibo.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I37"/>
  <mergeCells count="7">
    <mergeCell ref="A2:I2"/>
    <mergeCell ref="B39:I39"/>
    <mergeCell ref="A1:I1"/>
    <mergeCell ref="B42:I42"/>
    <mergeCell ref="B43:I43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SET.26'!B6</f>
        <v/>
      </c>
      <c r="E5" s="39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SET.26'!B7</f>
        <v/>
      </c>
      <c r="E6" s="39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SET.26'!B8</f>
        <v/>
      </c>
      <c r="E7" s="39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SET.26'!B11</f>
        <v/>
      </c>
      <c r="E8" s="39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SET.26'!B12</f>
        <v/>
      </c>
      <c r="E9" s="39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SET.26'!B13</f>
        <v/>
      </c>
      <c r="E10" s="39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SET.26'!B14</f>
        <v/>
      </c>
      <c r="E11" s="39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SET.26'!B15</f>
        <v/>
      </c>
      <c r="E12" s="39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SET.26'!B16</f>
        <v/>
      </c>
      <c r="E13" s="39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SET.26'!B17</f>
        <v/>
      </c>
      <c r="E14" s="39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SET.26'!B18</f>
        <v/>
      </c>
      <c r="E15" s="39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SET.26'!B19</f>
        <v/>
      </c>
      <c r="E16" s="39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SET.26'!B20</f>
        <v/>
      </c>
      <c r="E17" s="39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SET.26'!B21</f>
        <v/>
      </c>
      <c r="E18" s="39" t="n"/>
    </row>
    <row r="19">
      <c r="A19" s="40" t="inlineStr">
        <is>
          <t>ARIANE</t>
        </is>
      </c>
      <c r="B19" s="40" t="inlineStr">
        <is>
          <t>TOTAL DE PROVENTOS</t>
        </is>
      </c>
      <c r="C19" s="40" t="inlineStr">
        <is>
          <t>Subtotal</t>
        </is>
      </c>
      <c r="D19" s="41">
        <f>'HOLERITE SET.26'!B22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SET.26'!B24</f>
        <v/>
      </c>
      <c r="E20" s="39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SET.26'!B25</f>
        <v/>
      </c>
      <c r="E21" s="39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SET.26'!B26</f>
        <v/>
      </c>
      <c r="E22" s="39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SET.26'!B27</f>
        <v/>
      </c>
      <c r="E23" s="39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SET.26'!B28</f>
        <v/>
      </c>
      <c r="E24" s="39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SET.26'!B29</f>
        <v/>
      </c>
      <c r="E25" s="39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SET.26'!B30</f>
        <v/>
      </c>
      <c r="E26" s="39" t="n"/>
    </row>
    <row r="27">
      <c r="A27" s="40" t="inlineStr">
        <is>
          <t>ARIANE</t>
        </is>
      </c>
      <c r="B27" s="40" t="inlineStr">
        <is>
          <t>TOTAL DE DESCONTOS</t>
        </is>
      </c>
      <c r="C27" s="40" t="inlineStr">
        <is>
          <t>Subtotal</t>
        </is>
      </c>
      <c r="D27" s="41">
        <f>'HOLERITE SET.26'!B31</f>
        <v/>
      </c>
      <c r="E27" s="18" t="n"/>
    </row>
    <row r="28">
      <c r="A28" s="42" t="inlineStr">
        <is>
          <t>ARIANE</t>
        </is>
      </c>
      <c r="B28" s="43" t="inlineStr">
        <is>
          <t>LÍQUIDO A RECEBER</t>
        </is>
      </c>
      <c r="C28" s="43" t="inlineStr">
        <is>
          <t>Líquido</t>
        </is>
      </c>
      <c r="D28" s="44">
        <f>'HOLERITE SET.26'!B33</f>
        <v/>
      </c>
      <c r="E28" s="45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SET.26'!C6</f>
        <v/>
      </c>
      <c r="E30" s="39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SET.26'!C7</f>
        <v/>
      </c>
      <c r="E31" s="39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SET.26'!C8</f>
        <v/>
      </c>
      <c r="E32" s="39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SET.26'!C11</f>
        <v/>
      </c>
      <c r="E33" s="39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SET.26'!C12</f>
        <v/>
      </c>
      <c r="E34" s="39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SET.26'!C13</f>
        <v/>
      </c>
      <c r="E35" s="39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SET.26'!C14</f>
        <v/>
      </c>
      <c r="E36" s="39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SET.26'!C15</f>
        <v/>
      </c>
      <c r="E37" s="39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SET.26'!C16</f>
        <v/>
      </c>
      <c r="E38" s="39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SET.26'!C17</f>
        <v/>
      </c>
      <c r="E39" s="39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SET.26'!C18</f>
        <v/>
      </c>
      <c r="E40" s="39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SET.26'!C19</f>
        <v/>
      </c>
      <c r="E41" s="39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SET.26'!C20</f>
        <v/>
      </c>
      <c r="E42" s="39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SET.26'!C21</f>
        <v/>
      </c>
      <c r="E43" s="39" t="n"/>
    </row>
    <row r="44">
      <c r="A44" s="40" t="inlineStr">
        <is>
          <t>ELIANA</t>
        </is>
      </c>
      <c r="B44" s="40" t="inlineStr">
        <is>
          <t>TOTAL DE PROVENTOS</t>
        </is>
      </c>
      <c r="C44" s="40" t="inlineStr">
        <is>
          <t>Subtotal</t>
        </is>
      </c>
      <c r="D44" s="41">
        <f>'HOLERITE SET.26'!C22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SET.26'!C24</f>
        <v/>
      </c>
      <c r="E45" s="39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SET.26'!C25</f>
        <v/>
      </c>
      <c r="E46" s="39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SET.26'!C26</f>
        <v/>
      </c>
      <c r="E47" s="39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SET.26'!C27</f>
        <v/>
      </c>
      <c r="E48" s="39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SET.26'!C28</f>
        <v/>
      </c>
      <c r="E49" s="39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SET.26'!C29</f>
        <v/>
      </c>
      <c r="E50" s="39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SET.26'!C30</f>
        <v/>
      </c>
      <c r="E51" s="39" t="n"/>
    </row>
    <row r="52">
      <c r="A52" s="40" t="inlineStr">
        <is>
          <t>ELIANA</t>
        </is>
      </c>
      <c r="B52" s="40" t="inlineStr">
        <is>
          <t>TOTAL DE DESCONTOS</t>
        </is>
      </c>
      <c r="C52" s="40" t="inlineStr">
        <is>
          <t>Subtotal</t>
        </is>
      </c>
      <c r="D52" s="41">
        <f>'HOLERITE SET.26'!C31</f>
        <v/>
      </c>
      <c r="E52" s="18" t="n"/>
    </row>
    <row r="53">
      <c r="A53" s="42" t="inlineStr">
        <is>
          <t>ELIANA</t>
        </is>
      </c>
      <c r="B53" s="43" t="inlineStr">
        <is>
          <t>LÍQUIDO A RECEBER</t>
        </is>
      </c>
      <c r="C53" s="43" t="inlineStr">
        <is>
          <t>Líquido</t>
        </is>
      </c>
      <c r="D53" s="44">
        <f>'HOLERITE SET.26'!C33</f>
        <v/>
      </c>
      <c r="E53" s="45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SET.26'!D6</f>
        <v/>
      </c>
      <c r="E55" s="39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SET.26'!D7</f>
        <v/>
      </c>
      <c r="E56" s="39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SET.26'!D8</f>
        <v/>
      </c>
      <c r="E57" s="39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SET.26'!D11</f>
        <v/>
      </c>
      <c r="E58" s="39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SET.26'!D12</f>
        <v/>
      </c>
      <c r="E59" s="39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SET.26'!D13</f>
        <v/>
      </c>
      <c r="E60" s="39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SET.26'!D14</f>
        <v/>
      </c>
      <c r="E61" s="39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SET.26'!D15</f>
        <v/>
      </c>
      <c r="E62" s="39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SET.26'!D16</f>
        <v/>
      </c>
      <c r="E63" s="39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SET.26'!D17</f>
        <v/>
      </c>
      <c r="E64" s="39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SET.26'!D18</f>
        <v/>
      </c>
      <c r="E65" s="39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SET.26'!D19</f>
        <v/>
      </c>
      <c r="E66" s="39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SET.26'!D20</f>
        <v/>
      </c>
      <c r="E67" s="39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SET.26'!D21</f>
        <v/>
      </c>
      <c r="E68" s="39" t="n"/>
    </row>
    <row r="69">
      <c r="A69" s="40" t="inlineStr">
        <is>
          <t>GENECIR</t>
        </is>
      </c>
      <c r="B69" s="40" t="inlineStr">
        <is>
          <t>TOTAL DE PROVENTOS</t>
        </is>
      </c>
      <c r="C69" s="40" t="inlineStr">
        <is>
          <t>Subtotal</t>
        </is>
      </c>
      <c r="D69" s="41">
        <f>'HOLERITE SET.26'!D22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SET.26'!D24</f>
        <v/>
      </c>
      <c r="E70" s="39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SET.26'!D25</f>
        <v/>
      </c>
      <c r="E71" s="39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SET.26'!D26</f>
        <v/>
      </c>
      <c r="E72" s="39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SET.26'!D27</f>
        <v/>
      </c>
      <c r="E73" s="39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SET.26'!D28</f>
        <v/>
      </c>
      <c r="E74" s="39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SET.26'!D29</f>
        <v/>
      </c>
      <c r="E75" s="39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SET.26'!D30</f>
        <v/>
      </c>
      <c r="E76" s="39" t="n"/>
    </row>
    <row r="77">
      <c r="A77" s="40" t="inlineStr">
        <is>
          <t>GENECIR</t>
        </is>
      </c>
      <c r="B77" s="40" t="inlineStr">
        <is>
          <t>TOTAL DE DESCONTOS</t>
        </is>
      </c>
      <c r="C77" s="40" t="inlineStr">
        <is>
          <t>Subtotal</t>
        </is>
      </c>
      <c r="D77" s="41">
        <f>'HOLERITE SET.26'!D31</f>
        <v/>
      </c>
      <c r="E77" s="18" t="n"/>
    </row>
    <row r="78">
      <c r="A78" s="42" t="inlineStr">
        <is>
          <t>GENECIR</t>
        </is>
      </c>
      <c r="B78" s="43" t="inlineStr">
        <is>
          <t>LÍQUIDO A RECEBER</t>
        </is>
      </c>
      <c r="C78" s="43" t="inlineStr">
        <is>
          <t>Líquido</t>
        </is>
      </c>
      <c r="D78" s="44">
        <f>'HOLERITE SET.26'!D33</f>
        <v/>
      </c>
      <c r="E78" s="45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SET.26'!E6</f>
        <v/>
      </c>
      <c r="E80" s="39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SET.26'!E7</f>
        <v/>
      </c>
      <c r="E81" s="39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SET.26'!E8</f>
        <v/>
      </c>
      <c r="E82" s="39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SET.26'!E11</f>
        <v/>
      </c>
      <c r="E83" s="39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SET.26'!E12</f>
        <v/>
      </c>
      <c r="E84" s="39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SET.26'!E13</f>
        <v/>
      </c>
      <c r="E85" s="39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SET.26'!E14</f>
        <v/>
      </c>
      <c r="E86" s="39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SET.26'!E15</f>
        <v/>
      </c>
      <c r="E87" s="39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SET.26'!E16</f>
        <v/>
      </c>
      <c r="E88" s="39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SET.26'!E17</f>
        <v/>
      </c>
      <c r="E89" s="39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SET.26'!E18</f>
        <v/>
      </c>
      <c r="E90" s="39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SET.26'!E19</f>
        <v/>
      </c>
      <c r="E91" s="39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SET.26'!E20</f>
        <v/>
      </c>
      <c r="E92" s="39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SET.26'!E21</f>
        <v/>
      </c>
      <c r="E93" s="39" t="n"/>
    </row>
    <row r="94">
      <c r="A94" s="40" t="inlineStr">
        <is>
          <t>RENALDO</t>
        </is>
      </c>
      <c r="B94" s="40" t="inlineStr">
        <is>
          <t>TOTAL DE PROVENTOS</t>
        </is>
      </c>
      <c r="C94" s="40" t="inlineStr">
        <is>
          <t>Subtotal</t>
        </is>
      </c>
      <c r="D94" s="41">
        <f>'HOLERITE SET.26'!E22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SET.26'!E24</f>
        <v/>
      </c>
      <c r="E95" s="39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SET.26'!E25</f>
        <v/>
      </c>
      <c r="E96" s="39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SET.26'!E26</f>
        <v/>
      </c>
      <c r="E97" s="39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SET.26'!E27</f>
        <v/>
      </c>
      <c r="E98" s="39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SET.26'!E28</f>
        <v/>
      </c>
      <c r="E99" s="39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SET.26'!E29</f>
        <v/>
      </c>
      <c r="E100" s="39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SET.26'!E30</f>
        <v/>
      </c>
      <c r="E101" s="39" t="n"/>
    </row>
    <row r="102">
      <c r="A102" s="40" t="inlineStr">
        <is>
          <t>RENALDO</t>
        </is>
      </c>
      <c r="B102" s="40" t="inlineStr">
        <is>
          <t>TOTAL DE DESCONTOS</t>
        </is>
      </c>
      <c r="C102" s="40" t="inlineStr">
        <is>
          <t>Subtotal</t>
        </is>
      </c>
      <c r="D102" s="41">
        <f>'HOLERITE SET.26'!E31</f>
        <v/>
      </c>
      <c r="E102" s="18" t="n"/>
    </row>
    <row r="103">
      <c r="A103" s="42" t="inlineStr">
        <is>
          <t>RENALDO</t>
        </is>
      </c>
      <c r="B103" s="43" t="inlineStr">
        <is>
          <t>LÍQUIDO A RECEBER</t>
        </is>
      </c>
      <c r="C103" s="43" t="inlineStr">
        <is>
          <t>Líquido</t>
        </is>
      </c>
      <c r="D103" s="44">
        <f>'HOLERITE SET.26'!E33</f>
        <v/>
      </c>
      <c r="E103" s="45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SET.26'!F6</f>
        <v/>
      </c>
      <c r="E105" s="39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SET.26'!F7</f>
        <v/>
      </c>
      <c r="E106" s="39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SET.26'!F8</f>
        <v/>
      </c>
      <c r="E107" s="39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SET.26'!F11</f>
        <v/>
      </c>
      <c r="E108" s="39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SET.26'!F12</f>
        <v/>
      </c>
      <c r="E109" s="39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SET.26'!F13</f>
        <v/>
      </c>
      <c r="E110" s="39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SET.26'!F14</f>
        <v/>
      </c>
      <c r="E111" s="39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SET.26'!F15</f>
        <v/>
      </c>
      <c r="E112" s="39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SET.26'!F16</f>
        <v/>
      </c>
      <c r="E113" s="39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SET.26'!F17</f>
        <v/>
      </c>
      <c r="E114" s="39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SET.26'!F18</f>
        <v/>
      </c>
      <c r="E115" s="39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SET.26'!F19</f>
        <v/>
      </c>
      <c r="E116" s="39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SET.26'!F20</f>
        <v/>
      </c>
      <c r="E117" s="39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SET.26'!F21</f>
        <v/>
      </c>
      <c r="E118" s="39" t="n"/>
    </row>
    <row r="119">
      <c r="A119" s="40" t="inlineStr">
        <is>
          <t>THAYANE</t>
        </is>
      </c>
      <c r="B119" s="40" t="inlineStr">
        <is>
          <t>TOTAL DE PROVENTOS</t>
        </is>
      </c>
      <c r="C119" s="40" t="inlineStr">
        <is>
          <t>Subtotal</t>
        </is>
      </c>
      <c r="D119" s="41">
        <f>'HOLERITE SET.26'!F22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SET.26'!F24</f>
        <v/>
      </c>
      <c r="E120" s="39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SET.26'!F25</f>
        <v/>
      </c>
      <c r="E121" s="39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SET.26'!F26</f>
        <v/>
      </c>
      <c r="E122" s="39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SET.26'!F27</f>
        <v/>
      </c>
      <c r="E123" s="39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SET.26'!F28</f>
        <v/>
      </c>
      <c r="E124" s="39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SET.26'!F29</f>
        <v/>
      </c>
      <c r="E125" s="39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SET.26'!F30</f>
        <v/>
      </c>
      <c r="E126" s="39" t="n"/>
    </row>
    <row r="127">
      <c r="A127" s="40" t="inlineStr">
        <is>
          <t>THAYANE</t>
        </is>
      </c>
      <c r="B127" s="40" t="inlineStr">
        <is>
          <t>TOTAL DE DESCONTOS</t>
        </is>
      </c>
      <c r="C127" s="40" t="inlineStr">
        <is>
          <t>Subtotal</t>
        </is>
      </c>
      <c r="D127" s="41">
        <f>'HOLERITE SET.26'!F31</f>
        <v/>
      </c>
      <c r="E127" s="18" t="n"/>
    </row>
    <row r="128">
      <c r="A128" s="42" t="inlineStr">
        <is>
          <t>THAYANE</t>
        </is>
      </c>
      <c r="B128" s="43" t="inlineStr">
        <is>
          <t>LÍQUIDO A RECEBER</t>
        </is>
      </c>
      <c r="C128" s="43" t="inlineStr">
        <is>
          <t>Líquido</t>
        </is>
      </c>
      <c r="D128" s="44">
        <f>'HOLERITE SET.26'!F33</f>
        <v/>
      </c>
      <c r="E128" s="45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SET.26'!G6</f>
        <v/>
      </c>
      <c r="E130" s="39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SET.26'!G7</f>
        <v/>
      </c>
      <c r="E131" s="39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SET.26'!G8</f>
        <v/>
      </c>
      <c r="E132" s="39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SET.26'!G11</f>
        <v/>
      </c>
      <c r="E133" s="39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SET.26'!G12</f>
        <v/>
      </c>
      <c r="E134" s="39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SET.26'!G13</f>
        <v/>
      </c>
      <c r="E135" s="39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SET.26'!G14</f>
        <v/>
      </c>
      <c r="E136" s="39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SET.26'!G15</f>
        <v/>
      </c>
      <c r="E137" s="39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SET.26'!G16</f>
        <v/>
      </c>
      <c r="E138" s="39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SET.26'!G17</f>
        <v/>
      </c>
      <c r="E139" s="39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SET.26'!G18</f>
        <v/>
      </c>
      <c r="E140" s="39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SET.26'!G19</f>
        <v/>
      </c>
      <c r="E141" s="39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SET.26'!G20</f>
        <v/>
      </c>
      <c r="E142" s="39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SET.26'!G21</f>
        <v/>
      </c>
      <c r="E143" s="39" t="n"/>
    </row>
    <row r="144">
      <c r="A144" s="40" t="inlineStr">
        <is>
          <t>PEDRO</t>
        </is>
      </c>
      <c r="B144" s="40" t="inlineStr">
        <is>
          <t>TOTAL DE PROVENTOS</t>
        </is>
      </c>
      <c r="C144" s="40" t="inlineStr">
        <is>
          <t>Subtotal</t>
        </is>
      </c>
      <c r="D144" s="41">
        <f>'HOLERITE SET.26'!G22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SET.26'!G24</f>
        <v/>
      </c>
      <c r="E145" s="39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SET.26'!G25</f>
        <v/>
      </c>
      <c r="E146" s="39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SET.26'!G26</f>
        <v/>
      </c>
      <c r="E147" s="39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SET.26'!G27</f>
        <v/>
      </c>
      <c r="E148" s="39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SET.26'!G28</f>
        <v/>
      </c>
      <c r="E149" s="39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SET.26'!G29</f>
        <v/>
      </c>
      <c r="E150" s="39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SET.26'!G30</f>
        <v/>
      </c>
      <c r="E151" s="39" t="n"/>
    </row>
    <row r="152">
      <c r="A152" s="40" t="inlineStr">
        <is>
          <t>PEDRO</t>
        </is>
      </c>
      <c r="B152" s="40" t="inlineStr">
        <is>
          <t>TOTAL DE DESCONTOS</t>
        </is>
      </c>
      <c r="C152" s="40" t="inlineStr">
        <is>
          <t>Subtotal</t>
        </is>
      </c>
      <c r="D152" s="41">
        <f>'HOLERITE SET.26'!G31</f>
        <v/>
      </c>
      <c r="E152" s="18" t="n"/>
    </row>
    <row r="153">
      <c r="A153" s="42" t="inlineStr">
        <is>
          <t>PEDRO</t>
        </is>
      </c>
      <c r="B153" s="43" t="inlineStr">
        <is>
          <t>LÍQUIDO A RECEBER</t>
        </is>
      </c>
      <c r="C153" s="43" t="inlineStr">
        <is>
          <t>Líquido</t>
        </is>
      </c>
      <c r="D153" s="44">
        <f>'HOLERITE SET.26'!G33</f>
        <v/>
      </c>
      <c r="E153" s="45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46" t="inlineStr">
        <is>
          <t>Escolha o colaborador:</t>
        </is>
      </c>
      <c r="C4" s="47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SET.26'!$B$6:$G$6,1,MATCH($C$4,'HOLERITE SET.26'!$B$4:$G$4,0)),0)</f>
        <v/>
      </c>
    </row>
    <row r="8">
      <c r="B8" s="30" t="inlineStr">
        <is>
          <t>Adicional noturno</t>
        </is>
      </c>
      <c r="C8" s="34">
        <f>IFERROR(INDEX('HOLERITE SET.26'!$B$7:$G$7,1,MATCH($C$4,'HOLERITE SET.26'!$B$4:$G$4,0)),0)</f>
        <v/>
      </c>
    </row>
    <row r="9">
      <c r="B9" s="30" t="inlineStr">
        <is>
          <t>Horas extras</t>
        </is>
      </c>
      <c r="C9" s="34">
        <f>IFERROR(INDEX('HOLERITE SET.26'!$B$8:$G$8,1,MATCH($C$4,'HOLERITE SET.26'!$B$4:$G$4,0)),0)</f>
        <v/>
      </c>
    </row>
    <row r="10">
      <c r="B10" s="30" t="inlineStr">
        <is>
          <t>Comissão sobre vendas</t>
        </is>
      </c>
      <c r="C10" s="34">
        <f>IFERROR(INDEX('HOLERITE SET.26'!$B$11:$G$11,1,MATCH($C$4,'HOLERITE SET.26'!$B$4:$G$4,0)),0)</f>
        <v/>
      </c>
    </row>
    <row r="11">
      <c r="B11" s="30" t="inlineStr">
        <is>
          <t>Repouso remunerado / DSR</t>
        </is>
      </c>
      <c r="C11" s="34">
        <f>IFERROR(INDEX('HOLERITE SET.26'!$B$12:$G$12,1,MATCH($C$4,'HOLERITE SET.26'!$B$4:$G$4,0)),0)</f>
        <v/>
      </c>
    </row>
    <row r="12">
      <c r="B12" s="30" t="inlineStr">
        <is>
          <t>Auxílio gerência</t>
        </is>
      </c>
      <c r="C12" s="34">
        <f>IFERROR(INDEX('HOLERITE SET.26'!$B$13:$G$13,1,MATCH($C$4,'HOLERITE SET.26'!$B$4:$G$4,0)),0)</f>
        <v/>
      </c>
    </row>
    <row r="13">
      <c r="B13" s="30" t="inlineStr">
        <is>
          <t>Adicional prêmio meta caixa</t>
        </is>
      </c>
      <c r="C13" s="34">
        <f>IFERROR(INDEX('HOLERITE SET.26'!$B$14:$G$14,1,MATCH($C$4,'HOLERITE SET.26'!$B$4:$G$4,0)),0)</f>
        <v/>
      </c>
    </row>
    <row r="14">
      <c r="B14" s="30" t="inlineStr">
        <is>
          <t>Prêmio cota geral</t>
        </is>
      </c>
      <c r="C14" s="34">
        <f>IFERROR(INDEX('HOLERITE SET.26'!$B$15:$G$15,1,MATCH($C$4,'HOLERITE SET.26'!$B$4:$G$4,0)),0)</f>
        <v/>
      </c>
    </row>
    <row r="15">
      <c r="B15" s="30" t="inlineStr">
        <is>
          <t>Prêmio pré-vencidos</t>
        </is>
      </c>
      <c r="C15" s="34">
        <f>IFERROR(INDEX('HOLERITE SET.26'!$B$16:$G$16,1,MATCH($C$4,'HOLERITE SET.26'!$B$4:$G$4,0)),0)</f>
        <v/>
      </c>
    </row>
    <row r="16">
      <c r="B16" s="30" t="inlineStr">
        <is>
          <t>Férias</t>
        </is>
      </c>
      <c r="C16" s="34">
        <f>IFERROR(INDEX('HOLERITE SET.26'!$B$17:$G$17,1,MATCH($C$4,'HOLERITE SET.26'!$B$4:$G$4,0)),0)</f>
        <v/>
      </c>
    </row>
    <row r="17">
      <c r="B17" s="30" t="inlineStr">
        <is>
          <t>1/3 constitucional de férias</t>
        </is>
      </c>
      <c r="C17" s="34">
        <f>IFERROR(INDEX('HOLERITE SET.26'!$B$18:$G$18,1,MATCH($C$4,'HOLERITE SET.26'!$B$4:$G$4,0)),0)</f>
        <v/>
      </c>
    </row>
    <row r="18">
      <c r="B18" s="30" t="inlineStr">
        <is>
          <t>Incentivo aplicações</t>
        </is>
      </c>
      <c r="C18" s="34">
        <f>IFERROR(INDEX('HOLERITE SET.26'!$B$19:$G$19,1,MATCH($C$4,'HOLERITE SET.26'!$B$4:$G$4,0)),0)</f>
        <v/>
      </c>
    </row>
    <row r="19">
      <c r="B19" s="30" t="inlineStr">
        <is>
          <t>Incentivo vitaminas</t>
        </is>
      </c>
      <c r="C19" s="34">
        <f>IFERROR(INDEX('HOLERITE SET.26'!$B$20:$G$20,1,MATCH($C$4,'HOLERITE SET.26'!$B$4:$G$4,0)),0)</f>
        <v/>
      </c>
    </row>
    <row r="20">
      <c r="B20" s="30" t="inlineStr">
        <is>
          <t>Outros incentivos</t>
        </is>
      </c>
      <c r="C20" s="34">
        <f>IFERROR(INDEX('HOLERITE SET.26'!$B$21:$G$21,1,MATCH($C$4,'HOLERITE SET.26'!$B$4:$G$4,0)),0)</f>
        <v/>
      </c>
    </row>
    <row r="21">
      <c r="B21" s="19" t="inlineStr">
        <is>
          <t>TOTAL DE PROVENTOS</t>
        </is>
      </c>
      <c r="C21" s="41">
        <f>IFERROR(INDEX('HOLERITE SET.26'!$B$22:$G$22,1,MATCH($C$4,'HOLERITE SET.26'!$B$4:$G$4,0)),0)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SET.26'!$B$24:$G$24,1,MATCH($C$4,'HOLERITE SET.26'!$B$4:$G$4,0)),0)</f>
        <v/>
      </c>
    </row>
    <row r="24">
      <c r="B24" s="30" t="inlineStr">
        <is>
          <t>Adiantamento de incentivos e aplicações</t>
        </is>
      </c>
      <c r="C24" s="34">
        <f>IFERROR(INDEX('HOLERITE SET.26'!$B$25:$G$25,1,MATCH($C$4,'HOLERITE SET.26'!$B$4:$G$4,0)),0)</f>
        <v/>
      </c>
    </row>
    <row r="25">
      <c r="B25" s="30" t="inlineStr">
        <is>
          <t>Convênio</t>
        </is>
      </c>
      <c r="C25" s="34">
        <f>IFERROR(INDEX('HOLERITE SET.26'!$B$26:$G$26,1,MATCH($C$4,'HOLERITE SET.26'!$B$4:$G$4,0)),0)</f>
        <v/>
      </c>
    </row>
    <row r="26">
      <c r="B26" s="30" t="inlineStr">
        <is>
          <t>Faltas / atrasos</t>
        </is>
      </c>
      <c r="C26" s="34">
        <f>IFERROR(INDEX('HOLERITE SET.26'!$B$27:$G$27,1,MATCH($C$4,'HOLERITE SET.26'!$B$4:$G$4,0)),0)</f>
        <v/>
      </c>
    </row>
    <row r="27">
      <c r="B27" s="30" t="inlineStr">
        <is>
          <t>Vale transporte 6%</t>
        </is>
      </c>
      <c r="C27" s="34">
        <f>IFERROR(INDEX('HOLERITE SET.26'!$B$28:$G$28,1,MATCH($C$4,'HOLERITE SET.26'!$B$4:$G$4,0)),0)</f>
        <v/>
      </c>
    </row>
    <row r="28">
      <c r="B28" s="30" t="inlineStr">
        <is>
          <t>INSS</t>
        </is>
      </c>
      <c r="C28" s="34">
        <f>IFERROR(INDEX('HOLERITE SET.26'!$B$29:$G$29,1,MATCH($C$4,'HOLERITE SET.26'!$B$4:$G$4,0)),0)</f>
        <v/>
      </c>
    </row>
    <row r="29">
      <c r="B29" s="30" t="inlineStr">
        <is>
          <t>IRRF</t>
        </is>
      </c>
      <c r="C29" s="34">
        <f>IFERROR(INDEX('HOLERITE SET.26'!$B$30:$G$30,1,MATCH($C$4,'HOLERITE SET.26'!$B$4:$G$4,0)),0)</f>
        <v/>
      </c>
    </row>
    <row r="30">
      <c r="B30" s="19" t="inlineStr">
        <is>
          <t>TOTAL DE DESCONTOS</t>
        </is>
      </c>
      <c r="C30" s="41">
        <f>IFERROR(INDEX('HOLERITE SET.26'!$B$31:$G$31,1,MATCH($C$4,'HOLERITE SET.26'!$B$4:$G$4,0)),0)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48" t="inlineStr">
        <is>
          <t>LÍQUIDO A RECEBER EM 05/10/2026</t>
        </is>
      </c>
      <c r="C32" s="49">
        <f>IFERROR(INDEX('HOLERITE SET.26'!$B$33:$G$33,1,MATCH($C$4,'HOLERITE SET.26'!$B$4:$G$4,0)),0)</f>
        <v/>
      </c>
    </row>
    <row r="34">
      <c r="B34" s="50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SET.26'!$C$5:$C$10,MATCH($C$4,'BASE INOVAFARMA SET.26'!$B$5:$B$10,0)),0)</f>
        <v/>
      </c>
    </row>
    <row r="36">
      <c r="B36" s="30" t="inlineStr">
        <is>
          <t>Descontos concedidos</t>
        </is>
      </c>
      <c r="C36" s="34">
        <f>IFERROR(INDEX('BASE INOVAFARMA SET.26'!$D$5:$D$10,MATCH($C$4,'BASE INOVAFARMA SET.26'!$B$5:$B$10,0)),0)</f>
        <v/>
      </c>
    </row>
    <row r="37">
      <c r="B37" s="30" t="inlineStr">
        <is>
          <t>Venda líquida</t>
        </is>
      </c>
      <c r="C37" s="34">
        <f>IFERROR(INDEX('BASE INOVAFARMA SET.26'!$E$5:$E$10,MATCH($C$4,'BASE INOVAFARMA SET.26'!$B$5:$B$10,0)),0)</f>
        <v/>
      </c>
    </row>
    <row r="38">
      <c r="B38" s="30" t="inlineStr">
        <is>
          <t>Comissão apurada</t>
        </is>
      </c>
      <c r="C38" s="34">
        <f>IFERROR(INDEX('BASE INOVAFARMA SET.26'!$F$5:$F$10,MATCH($C$4,'BASE INOVAFARMA SET.26'!$B$5:$B$10,0)),0)</f>
        <v/>
      </c>
    </row>
    <row r="39">
      <c r="B39" s="30" t="inlineStr">
        <is>
          <t>Total de incentivos</t>
        </is>
      </c>
      <c r="C39" s="34">
        <f>IFERROR(INDEX('BASE INOVAFARMA SET.26'!$J$5:$J$10,MATCH($C$4,'BASE INOVAFARMA SET.26'!$B$5:$B$10,0)),0)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30" t="inlineStr">
        <is>
          <t>Registro informativo</t>
        </is>
      </c>
      <c r="C5" s="8" t="n">
        <v>0</v>
      </c>
      <c r="D5" s="14" t="inlineStr">
        <is>
          <t>dias</t>
        </is>
      </c>
      <c r="E5" s="34">
        <f>IFERROR(INDEX('HOLERITE SET.26'!$B$6:$G$6,1,MATCH(A5,'HOLERITE SET.26'!$B$4:$G$4,0)),0)</f>
        <v/>
      </c>
      <c r="F5" s="36" t="n">
        <v>0</v>
      </c>
      <c r="G5" s="20">
        <f>ROUND(C5*F5,2)</f>
        <v/>
      </c>
      <c r="H5" s="51" t="inlineStr">
        <is>
          <t>—</t>
        </is>
      </c>
      <c r="I5" s="33" t="inlineStr">
        <is>
          <t>Voltou das férias (01 a 30/08/2026) — salário integral em setembro.</t>
        </is>
      </c>
    </row>
    <row r="6">
      <c r="A6" s="15" t="inlineStr">
        <is>
          <t>RENALDO</t>
        </is>
      </c>
      <c r="B6" s="30" t="inlineStr">
        <is>
          <t>Registro informativo</t>
        </is>
      </c>
      <c r="C6" s="8" t="n">
        <v>30</v>
      </c>
      <c r="D6" s="14" t="inlineStr">
        <is>
          <t>dias</t>
        </is>
      </c>
      <c r="E6" s="34">
        <f>IFERROR(INDEX('HOLERITE SET.26'!$B$6:$G$6,1,MATCH(A6,'HOLERITE SET.26'!$B$4:$G$4,0)),0)</f>
        <v/>
      </c>
      <c r="F6" s="36" t="n">
        <v>0</v>
      </c>
      <c r="G6" s="20">
        <f>ROUND(C6*F6,2)</f>
        <v/>
      </c>
      <c r="H6" s="51" t="inlineStr">
        <is>
          <t>—</t>
        </is>
      </c>
      <c r="I6" s="33" t="inlineStr">
        <is>
          <t>Férias de 01 a 30/09/2026 — mês inteiro. Salário zerado no holerite; férias e 1/3 vão em recibo próprio.</t>
        </is>
      </c>
    </row>
    <row r="7">
      <c r="A7" s="52" t="n"/>
      <c r="B7" s="52" t="n"/>
      <c r="C7" s="52" t="n"/>
      <c r="D7" s="52" t="n"/>
      <c r="E7" s="34">
        <f>IFERROR(INDEX('HOLERITE SET.26'!$B$6:$G$6,1,MATCH(A7,'HOLERITE SET.26'!$B$4:$G$4,0)),0)</f>
        <v/>
      </c>
      <c r="F7" s="35" t="n"/>
      <c r="G7" s="20">
        <f>ROUND(C7*F7,2)</f>
        <v/>
      </c>
      <c r="H7" s="52" t="n"/>
      <c r="I7" s="52" t="n"/>
    </row>
    <row r="8">
      <c r="A8" s="52" t="n"/>
      <c r="B8" s="52" t="n"/>
      <c r="C8" s="52" t="n"/>
      <c r="D8" s="52" t="n"/>
      <c r="E8" s="34">
        <f>IFERROR(INDEX('HOLERITE SET.26'!$B$6:$G$6,1,MATCH(A8,'HOLERITE SET.26'!$B$4:$G$4,0)),0)</f>
        <v/>
      </c>
      <c r="F8" s="35" t="n"/>
      <c r="G8" s="20">
        <f>ROUND(C8*F8,2)</f>
        <v/>
      </c>
      <c r="H8" s="52" t="n"/>
      <c r="I8" s="52" t="n"/>
    </row>
    <row r="9">
      <c r="A9" s="52" t="n"/>
      <c r="B9" s="52" t="n"/>
      <c r="C9" s="52" t="n"/>
      <c r="D9" s="52" t="n"/>
      <c r="E9" s="34">
        <f>IFERROR(INDEX('HOLERITE SET.26'!$B$6:$G$6,1,MATCH(A9,'HOLERITE SET.26'!$B$4:$G$4,0)),0)</f>
        <v/>
      </c>
      <c r="F9" s="35" t="n"/>
      <c r="G9" s="20">
        <f>ROUND(C9*F9,2)</f>
        <v/>
      </c>
      <c r="H9" s="52" t="n"/>
      <c r="I9" s="52" t="n"/>
    </row>
    <row r="10">
      <c r="A10" s="52" t="n"/>
      <c r="B10" s="52" t="n"/>
      <c r="C10" s="52" t="n"/>
      <c r="D10" s="52" t="n"/>
      <c r="E10" s="34">
        <f>IFERROR(INDEX('HOLERITE SET.26'!$B$6:$G$6,1,MATCH(A10,'HOLERITE SET.26'!$B$4:$G$4,0)),0)</f>
        <v/>
      </c>
      <c r="F10" s="35" t="n"/>
      <c r="G10" s="20">
        <f>ROUND(C10*F10,2)</f>
        <v/>
      </c>
      <c r="H10" s="52" t="n"/>
      <c r="I10" s="52" t="n"/>
    </row>
    <row r="11">
      <c r="A11" s="52" t="n"/>
      <c r="B11" s="52" t="n"/>
      <c r="C11" s="52" t="n"/>
      <c r="D11" s="52" t="n"/>
      <c r="E11" s="34">
        <f>IFERROR(INDEX('HOLERITE SET.26'!$B$6:$G$6,1,MATCH(A11,'HOLERITE SET.26'!$B$4:$G$4,0)),0)</f>
        <v/>
      </c>
      <c r="F11" s="35" t="n"/>
      <c r="G11" s="20">
        <f>ROUND(C11*F11,2)</f>
        <v/>
      </c>
      <c r="H11" s="52" t="n"/>
      <c r="I11" s="52" t="n"/>
    </row>
    <row r="12">
      <c r="A12" s="52" t="n"/>
      <c r="B12" s="52" t="n"/>
      <c r="C12" s="52" t="n"/>
      <c r="D12" s="52" t="n"/>
      <c r="E12" s="34">
        <f>IFERROR(INDEX('HOLERITE SET.26'!$B$6:$G$6,1,MATCH(A12,'HOLERITE SET.26'!$B$4:$G$4,0)),0)</f>
        <v/>
      </c>
      <c r="F12" s="35" t="n"/>
      <c r="G12" s="20">
        <f>ROUND(C12*F12,2)</f>
        <v/>
      </c>
      <c r="H12" s="52" t="n"/>
      <c r="I12" s="52" t="n"/>
    </row>
    <row r="13">
      <c r="A13" s="52" t="n"/>
      <c r="B13" s="52" t="n"/>
      <c r="C13" s="52" t="n"/>
      <c r="D13" s="52" t="n"/>
      <c r="E13" s="34">
        <f>IFERROR(INDEX('HOLERITE SET.26'!$B$6:$G$6,1,MATCH(A13,'HOLERITE SET.26'!$B$4:$G$4,0)),0)</f>
        <v/>
      </c>
      <c r="F13" s="35" t="n"/>
      <c r="G13" s="20">
        <f>ROUND(C13*F13,2)</f>
        <v/>
      </c>
      <c r="H13" s="52" t="n"/>
      <c r="I13" s="52" t="n"/>
    </row>
    <row r="14">
      <c r="A14" s="52" t="n"/>
      <c r="B14" s="52" t="n"/>
      <c r="C14" s="52" t="n"/>
      <c r="D14" s="52" t="n"/>
      <c r="E14" s="34">
        <f>IFERROR(INDEX('HOLERITE SET.26'!$B$6:$G$6,1,MATCH(A14,'HOLERITE SET.26'!$B$4:$G$4,0)),0)</f>
        <v/>
      </c>
      <c r="F14" s="35" t="n"/>
      <c r="G14" s="20">
        <f>ROUND(C14*F14,2)</f>
        <v/>
      </c>
      <c r="H14" s="52" t="n"/>
      <c r="I14" s="52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3">
        <f>C5*D5</f>
        <v/>
      </c>
      <c r="F5" s="35" t="n">
        <v>0</v>
      </c>
      <c r="G5" s="35" t="n">
        <v>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3">
        <f>C6*D6</f>
        <v/>
      </c>
      <c r="F6" s="35" t="n">
        <v>0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2026-09-04T20:06:38Z</dcterms:created>
  <dcterms:modified xsi:type="dcterms:W3CDTF">2026-09-04T20:06:38Z</dcterms:modified>
</cp:coreProperties>
</file>