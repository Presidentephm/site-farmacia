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  <sheet name="FOLGUISTAS" sheetId="8" state="visible" r:id="rId8"/>
  </sheets>
  <definedNames>
    <definedName name="_xlnm._FilterDatabase" localSheetId="2" hidden="1">'BASE INOVAFARMA SET.26'!$A$4:$J$10</definedName>
    <definedName name="_xlnm._FilterDatabase" localSheetId="3" hidden="1">'HOLERITE SET.26'!$A$4:$I$37</definedName>
    <definedName name="_xlnm._FilterDatabase" localSheetId="4" hidden="1">'LISTA CONTABILIDADE'!$A$4:$E$153</definedName>
    <definedName name="_xlnm.Print_Area" localSheetId="5">'GANHOS DO COLABORADOR'!$A$1:$D$44</definedName>
    <definedName name="_xlnm._FilterDatabase" localSheetId="6" hidden="1">'PONTO SET.26'!$A$4:$I$14</definedName>
    <definedName name="_xlnm._FilterDatabase" localSheetId="7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 feriado de 07/09 ÷ 25 dias úteis = fator 0,200000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vendas.</t>
        </is>
      </c>
    </row>
    <row r="23" ht="17" customHeight="1">
      <c r="A23" s="4" t="inlineStr"/>
      <c r="B23" s="5" t="inlineStr">
        <is>
          <t>GENECIR: voltou das férias, salário integral em setembro.</t>
        </is>
      </c>
    </row>
    <row r="24" ht="17" customHeight="1">
      <c r="A24" s="4" t="inlineStr"/>
      <c r="B24" s="5" t="inlineStr">
        <is>
          <t>RENALDO: férias de 01 a 30/09/2026 (mês inteiro) — salário zerado e sem desconto de vale-transporte; férias e 1/3 em recibo próprio.</t>
        </is>
      </c>
    </row>
    <row r="25" ht="17" customHeight="1">
      <c r="A25" s="4" t="inlineStr"/>
      <c r="B25" s="5" t="inlineStr">
        <is>
          <t>SERGIO e ANA CELIA seguem como folguistas (diária de R$ 150,00 e R$ 100,00), na aba FOLGUISTAS.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extras, adicional noturno e feriados trabalhados de setembro — lançar na aba PONTO SET.26.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pré-vencidos, conforme a tabela de metas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Extrair o relatório de comissões de setembro no InovaFarma e preencher a aba BASE INOVAFARMA SET.26.</t>
        </is>
      </c>
    </row>
    <row r="32" ht="17" customHeight="1">
      <c r="A32" s="4" t="inlineStr">
        <is>
          <t>•</t>
        </is>
      </c>
      <c r="B32" s="6" t="inlineStr">
        <is>
          <t>Preencher a quantidade de diárias de SERGIO e ANA CELIA.</t>
        </is>
      </c>
    </row>
    <row r="33" ht="20" customHeight="1">
      <c r="A33" s="3" t="inlineStr">
        <is>
          <t>OBSERVAÇÃO TÉCNICA</t>
        </is>
      </c>
    </row>
    <row r="34" ht="17" customHeight="1">
      <c r="A34" s="4" t="inlineStr"/>
      <c r="B34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5" ht="20" customHeight="1">
      <c r="A35" s="3" t="inlineStr">
        <is>
          <t>ABAS DO ARQUIVO</t>
        </is>
      </c>
    </row>
    <row r="36" ht="17" customHeight="1">
      <c r="A36" s="4" t="inlineStr"/>
      <c r="B36" s="5" t="inlineStr">
        <is>
          <t>HOLERITE SET.26 — relatório principal da competência setembro/2026.</t>
        </is>
      </c>
    </row>
    <row r="37" ht="17" customHeight="1">
      <c r="A37" s="4" t="inlineStr"/>
      <c r="B37" s="5" t="inlineStr">
        <is>
          <t>GANHOS DO COLABORADOR — demonstrativo individual, pronto para imprimir/mandar.</t>
        </is>
      </c>
    </row>
    <row r="38" ht="17" customHeight="1">
      <c r="A38" s="4" t="inlineStr"/>
      <c r="B38" s="5" t="inlineStr">
        <is>
          <t>LISTA CONTABILIDADE — os mesmos lançamentos em formato de lista.</t>
        </is>
      </c>
    </row>
    <row r="39" ht="17" customHeight="1">
      <c r="A39" s="4" t="inlineStr"/>
      <c r="B39" s="5" t="inlineStr">
        <is>
          <t>BASE INOVAFARMA SET.26 — apuração de comissões e incentivos por vendedor.</t>
        </is>
      </c>
    </row>
    <row r="40" ht="17" customHeight="1">
      <c r="A40" s="4" t="inlineStr"/>
      <c r="B40" s="5" t="inlineStr">
        <is>
          <t>PARÂMETROS — calendário do mês, fator do DSR e valores fixos.</t>
        </is>
      </c>
    </row>
    <row r="41" ht="17" customHeight="1">
      <c r="A41" s="4" t="inlineStr"/>
      <c r="B41" s="5" t="inlineStr">
        <is>
          <t>PONTO SET.26 — horas extras, adicional noturno e feriado trabalhado; alimenta o holerite.</t>
        </is>
      </c>
    </row>
    <row r="42" ht="17" customHeight="1">
      <c r="A42" s="4" t="inlineStr"/>
      <c r="B42" s="5" t="inlineStr">
        <is>
          <t>FOLGUISTAS — diárias de SERGIO e ANA CELIA para o contas a pagar (fora do holerite).</t>
        </is>
      </c>
    </row>
  </sheetData>
  <mergeCells count="9">
    <mergeCell ref="A4:B4"/>
    <mergeCell ref="A26:B26"/>
    <mergeCell ref="A21:B21"/>
    <mergeCell ref="A2:B2"/>
    <mergeCell ref="A33:B33"/>
    <mergeCell ref="A10:B10"/>
    <mergeCell ref="A1:B1"/>
    <mergeCell ref="A17:B1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CENTRO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06, 13, 20 e 27/09/2026, mais o feriado de 07/09 (segunda-feira). CONFERIR feriados municipais.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vai para a folha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0</v>
      </c>
      <c r="F14" s="25" t="n">
        <v>0</v>
      </c>
      <c r="J14" s="25" t="n">
        <v>0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0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0</v>
      </c>
      <c r="F16" s="25" t="n">
        <v>0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0</v>
      </c>
      <c r="F17" s="25" t="n">
        <v>0</v>
      </c>
      <c r="J17" s="25" t="n">
        <v>0</v>
      </c>
    </row>
    <row r="19" ht="26" customHeight="1">
      <c r="A19" s="26" t="inlineStr">
        <is>
          <t>CONFERÊNCIA — total geral do relatório: venda bruta R$ 0,00 · descontos R$ 0,00 · venda líquida R$ 0,00 · comissão R$ 0,00 · incentivo R$ 0,00,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2" ht="26" customHeight="1">
      <c r="A22" s="26" t="inlineStr">
        <is>
          <t>A comissão desta aba é a APURADA pelo sistema, sem multiplicador. O valor que vai para a folha está na aba HOLERITE SET.26.</t>
        </is>
      </c>
    </row>
    <row r="23" ht="26" customHeight="1">
      <c r="A23" s="26" t="inlineStr">
        <is>
          <t>ARIANE não recebe comissão em folha: no caso dele(a) a comissão apurada acima é apenas informativa.</t>
        </is>
      </c>
    </row>
    <row r="24" ht="26" customHeight="1">
      <c r="A24" s="26" t="inlineStr">
        <is>
          <t>PEDRO não recebe comissão em folha: no caso dele(a) a comissão apurada acima é apenas informativa.</t>
        </is>
      </c>
    </row>
  </sheetData>
  <autoFilter ref="A4:J10"/>
  <mergeCells count="8">
    <mergeCell ref="A1:J1"/>
    <mergeCell ref="A23:J23"/>
    <mergeCell ref="A22:J22"/>
    <mergeCell ref="A21:J21"/>
    <mergeCell ref="A20:J20"/>
    <mergeCell ref="A24:J24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SETEMBRO/2026 (01/08 a 31/08/2026) · pagamento em 05/09/2026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1621</v>
      </c>
      <c r="E6" s="31" t="n">
        <v>0</v>
      </c>
      <c r="F6" s="31" t="n">
        <v>1621</v>
      </c>
      <c r="G6" s="31" t="n">
        <v>1621</v>
      </c>
      <c r="H6" s="32">
        <f>SUM(B6:G6)</f>
        <v/>
      </c>
      <c r="I6" s="33" t="inlineStr">
        <is>
          <t>Piso 2026 R$ 1.621,00; gerente conforme ago/2026. CONFERIR admissões, afastamentos e férias do mês.</t>
        </is>
      </c>
    </row>
    <row r="7">
      <c r="A7" s="30" t="inlineStr">
        <is>
          <t>ADICIONAL NOTURNO</t>
        </is>
      </c>
      <c r="B7" s="34">
        <f>SUMIFS('PONTO SET.26'!$G$5:$G$14,'PONTO SET.26'!$A$5:$A$14,B$4,'PONTO SET.26'!$H$5:$H$14,"ADICIONAL NOTURNO")</f>
        <v/>
      </c>
      <c r="C7" s="34">
        <f>SUMIFS('PONTO SET.26'!$G$5:$G$14,'PONTO SET.26'!$A$5:$A$14,C$4,'PONTO SET.26'!$H$5:$H$14,"ADICIONAL NOTURNO")</f>
        <v/>
      </c>
      <c r="D7" s="34">
        <f>SUMIFS('PONTO SET.26'!$G$5:$G$14,'PONTO SET.26'!$A$5:$A$14,D$4,'PONTO SET.26'!$H$5:$H$14,"ADICIONAL NOTURNO")</f>
        <v/>
      </c>
      <c r="E7" s="34">
        <f>SUMIFS('PONTO SET.26'!$G$5:$G$14,'PONTO SET.26'!$A$5:$A$14,E$4,'PONTO SET.26'!$H$5:$H$14,"ADICIONAL NOTURNO")</f>
        <v/>
      </c>
      <c r="F7" s="34">
        <f>SUMIFS('PONTO SET.26'!$G$5:$G$14,'PONTO SET.26'!$A$5:$A$14,F$4,'PONTO SET.26'!$H$5:$H$14,"ADICIONAL NOTURNO")</f>
        <v/>
      </c>
      <c r="G7" s="34">
        <f>SUMIFS('PONTO SET.26'!$G$5:$G$14,'PONTO SET.26'!$A$5:$A$14,G$4,'PONTO SET.26'!$H$5:$H$14,"ADICIONAL NOTURNO")</f>
        <v/>
      </c>
      <c r="H7" s="20">
        <f>SUM(B7:G7)</f>
        <v/>
      </c>
      <c r="I7" s="33" t="inlineStr">
        <is>
          <t>Somado automaticamente da aba PONTO SET.26 (apontamento de setembro/2026). Para mudar, edite lá.</t>
        </is>
      </c>
    </row>
    <row r="8">
      <c r="A8" s="30" t="inlineStr">
        <is>
          <t>HORAS EXTRAS</t>
        </is>
      </c>
      <c r="B8" s="34">
        <f>SUMIFS('PONTO SET.26'!$G$5:$G$14,'PONTO SET.26'!$A$5:$A$14,B$4,'PONTO SET.26'!$H$5:$H$14,"HORAS EXTRAS")</f>
        <v/>
      </c>
      <c r="C8" s="34">
        <f>SUMIFS('PONTO SET.26'!$G$5:$G$14,'PONTO SET.26'!$A$5:$A$14,C$4,'PONTO SET.26'!$H$5:$H$14,"HORAS EXTRAS")</f>
        <v/>
      </c>
      <c r="D8" s="34">
        <f>SUMIFS('PONTO SET.26'!$G$5:$G$14,'PONTO SET.26'!$A$5:$A$14,D$4,'PONTO SET.26'!$H$5:$H$14,"HORAS EXTRAS")</f>
        <v/>
      </c>
      <c r="E8" s="34">
        <f>SUMIFS('PONTO SET.26'!$G$5:$G$14,'PONTO SET.26'!$A$5:$A$14,E$4,'PONTO SET.26'!$H$5:$H$14,"HORAS EXTRAS")</f>
        <v/>
      </c>
      <c r="F8" s="34">
        <f>SUMIFS('PONTO SET.26'!$G$5:$G$14,'PONTO SET.26'!$A$5:$A$14,F$4,'PONTO SET.26'!$H$5:$H$14,"HORAS EXTRAS")</f>
        <v/>
      </c>
      <c r="G8" s="34">
        <f>SUMIFS('PONTO SET.26'!$G$5:$G$14,'PONTO SET.26'!$A$5:$A$14,G$4,'PONTO SET.26'!$H$5:$H$14,"HORAS EXTRAS")</f>
        <v/>
      </c>
      <c r="H8" s="20">
        <f>SUM(B8:G8)</f>
        <v/>
      </c>
      <c r="I8" s="33" t="inlineStr">
        <is>
          <t>Somado automaticamente da aba PONTO SET.26 (apontamento de setembro/2026).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ROUND('BASE INOVAFARMA SET.26'!F6*PARÂMETROS!$B$20,2)</f>
        <v/>
      </c>
      <c r="D9" s="34">
        <f>ROUND('BASE INOVAFARMA SET.26'!F7*PARÂMETROS!$B$20,2)</f>
        <v/>
      </c>
      <c r="E9" s="34">
        <f>ROUND('BASE INOVAFARMA SET.26'!F8*PARÂMETROS!$B$20,2)</f>
        <v/>
      </c>
      <c r="F9" s="34">
        <f>ROUND('BASE INOVAFARMA SET.26'!F9*PARÂMETROS!$B$20,2)</f>
        <v/>
      </c>
      <c r="G9" s="34" t="n">
        <v>0</v>
      </c>
      <c r="H9" s="20">
        <f>SUM(B9:G9)</f>
        <v/>
      </c>
      <c r="I9" s="33" t="inlineStr">
        <is>
          <t>Apurado no InovaFarma (aba BASE INOVAFARMA SET.26). ARIANE e PEDRO não recebe(m) comissão — lançado zero.</t>
        </is>
      </c>
    </row>
    <row r="10">
      <c r="A10" s="30" t="inlineStr">
        <is>
          <t>COMPLEMENTO / COMISSÃO PDV</t>
        </is>
      </c>
      <c r="B10" s="35" t="n"/>
      <c r="C10" s="35" t="n"/>
      <c r="D10" s="35" t="n"/>
      <c r="E10" s="35" t="n"/>
      <c r="F10" s="35" t="n"/>
      <c r="G10" s="35" t="n"/>
      <c r="H10" s="20">
        <f>SUM(B10:G10)</f>
        <v/>
      </c>
      <c r="I10" s="33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20">
        <f>SUM(B12:G12)</f>
        <v/>
      </c>
      <c r="I12" s="33" t="inlineStr">
        <is>
          <t>Cálculo: (comissão total + horas extras) × (4 domingos + feriado 07/09) ÷ 25 dias úteis de setembro/2026.</t>
        </is>
      </c>
    </row>
    <row r="13">
      <c r="A13" s="30" t="inlineStr">
        <is>
          <t>AUXÍLIO GERÊNCIA</t>
        </is>
      </c>
      <c r="B13" s="35" t="n"/>
      <c r="C13" s="35" t="n"/>
      <c r="D13" s="35" t="n"/>
      <c r="E13" s="35" t="n"/>
      <c r="F13" s="35" t="n"/>
      <c r="G13" s="35" t="n"/>
      <c r="H13" s="20">
        <f>SUM(B13:G13)</f>
        <v/>
      </c>
      <c r="I13" s="33" t="inlineStr">
        <is>
          <t>Conforme acordo da loja.</t>
        </is>
      </c>
    </row>
    <row r="14">
      <c r="A14" s="30" t="inlineStr">
        <is>
          <t>ADICIONAL PRÊMIO META CAIXA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>
        <is>
          <t>Conforme apuração do caixa.</t>
        </is>
      </c>
    </row>
    <row r="15">
      <c r="A15" s="30" t="inlineStr">
        <is>
          <t>PRÊMIO COTA GERAL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>
        <is>
          <t>PREENCHER conforme a tabela de metas da loja (aba METAS da planilha original).</t>
        </is>
      </c>
    </row>
    <row r="16">
      <c r="A16" s="30" t="inlineStr">
        <is>
          <t>PRÊMIO PRÉ-VENCIDOS</t>
        </is>
      </c>
      <c r="B16" s="35" t="n"/>
      <c r="C16" s="35" t="n"/>
      <c r="D16" s="35" t="n"/>
      <c r="E16" s="35" t="n"/>
      <c r="F16" s="35" t="n"/>
      <c r="G16" s="35" t="n"/>
      <c r="H16" s="20">
        <f>SUM(B16:G16)</f>
        <v/>
      </c>
      <c r="I16" s="33" t="inlineStr">
        <is>
          <t>PREENCHER conforme a apuração de pré-vencidos de setembro.</t>
        </is>
      </c>
    </row>
    <row r="17">
      <c r="A17" s="30" t="inlineStr">
        <is>
          <t>FÉRIAS (DIAS GOZADOS)</t>
        </is>
      </c>
      <c r="B17" s="35" t="n"/>
      <c r="C17" s="35" t="n"/>
      <c r="D17" s="35" t="n"/>
      <c r="E17" s="35" t="n"/>
      <c r="F17" s="35" t="n"/>
      <c r="G17" s="35" t="n"/>
      <c r="H17" s="20">
        <f>SUM(B17:G17)</f>
        <v/>
      </c>
      <c r="I17" s="33" t="inlineStr">
        <is>
          <t>PREENCHER se houve férias no mês; informar o período.</t>
        </is>
      </c>
    </row>
    <row r="18">
      <c r="A18" s="30" t="inlineStr">
        <is>
          <t>1/3 CONSTITUCIONAL DE FÉRIAS</t>
        </is>
      </c>
      <c r="B18" s="35" t="n"/>
      <c r="C18" s="35" t="n"/>
      <c r="D18" s="35" t="n"/>
      <c r="E18" s="35" t="n"/>
      <c r="F18" s="35" t="n"/>
      <c r="G18" s="35" t="n"/>
      <c r="H18" s="20">
        <f>SUM(B18:G18)</f>
        <v/>
      </c>
      <c r="I18" s="33" t="inlineStr">
        <is>
          <t>Calculado pela contabilidade sobre o valor das férias.</t>
        </is>
      </c>
    </row>
    <row r="19">
      <c r="A19" s="30" t="inlineStr">
        <is>
          <t>INCENTIVO APLICAÇÕES</t>
        </is>
      </c>
      <c r="B19" s="34">
        <f>'BASE INOVAFARMA SET.26'!G5</f>
        <v/>
      </c>
      <c r="C19" s="34">
        <f>'BASE INOVAFARMA SET.26'!G6</f>
        <v/>
      </c>
      <c r="D19" s="34">
        <f>'BASE INOVAFARMA SET.26'!G7</f>
        <v/>
      </c>
      <c r="E19" s="34">
        <f>'BASE INOVAFARMA SET.26'!G8</f>
        <v/>
      </c>
      <c r="F19" s="34">
        <f>'BASE INOVAFARMA SET.26'!G9</f>
        <v/>
      </c>
      <c r="G19" s="34">
        <f>'BASE INOVAFARMA SET.26'!G10</f>
        <v/>
      </c>
      <c r="H19" s="20">
        <f>SUM(B19:G19)</f>
        <v/>
      </c>
      <c r="I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4">
        <f>'BASE INOVAFARMA SET.26'!H5</f>
        <v/>
      </c>
      <c r="C20" s="34">
        <f>'BASE INOVAFARMA SET.26'!H6</f>
        <v/>
      </c>
      <c r="D20" s="34">
        <f>'BASE INOVAFARMA SET.26'!H7</f>
        <v/>
      </c>
      <c r="E20" s="34">
        <f>'BASE INOVAFARMA SET.26'!H8</f>
        <v/>
      </c>
      <c r="F20" s="34">
        <f>'BASE INOVAFARMA SET.26'!H9</f>
        <v/>
      </c>
      <c r="G20" s="34">
        <f>'BASE INOVAFARMA SET.26'!H10</f>
        <v/>
      </c>
      <c r="H20" s="20">
        <f>SUM(B20:G20)</f>
        <v/>
      </c>
      <c r="I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4">
        <f>'BASE INOVAFARMA SET.26'!I5</f>
        <v/>
      </c>
      <c r="C21" s="34">
        <f>'BASE INOVAFARMA SET.26'!I6</f>
        <v/>
      </c>
      <c r="D21" s="34">
        <f>'BASE INOVAFARMA SET.26'!I7</f>
        <v/>
      </c>
      <c r="E21" s="34">
        <f>'BASE INOVAFARMA SET.26'!I8</f>
        <v/>
      </c>
      <c r="F21" s="34">
        <f>'BASE INOVAFARMA SET.26'!I9</f>
        <v/>
      </c>
      <c r="G21" s="34">
        <f>'BASE INOVAFARMA SET.26'!I10</f>
        <v/>
      </c>
      <c r="H21" s="20">
        <f>SUM(B21:G21)</f>
        <v/>
      </c>
      <c r="I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SUM(B22:G22)</f>
        <v/>
      </c>
      <c r="I22" s="33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</row>
    <row r="24">
      <c r="A24" s="30" t="inlineStr">
        <is>
          <t>ADIANTAMENTO SALARIAL / VALES</t>
        </is>
      </c>
      <c r="B24" s="35" t="n"/>
      <c r="C24" s="35" t="n"/>
      <c r="D24" s="35" t="n"/>
      <c r="E24" s="35" t="n"/>
      <c r="F24" s="35" t="n"/>
      <c r="G24" s="35" t="n"/>
      <c r="H24" s="20">
        <f>SUM(B24:G24)</f>
        <v/>
      </c>
      <c r="I24" s="33" t="inlineStr">
        <is>
          <t>PREENCHER com os vales adiantados durante setembro.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2">
        <f>SUM(B25:G25)</f>
        <v/>
      </c>
      <c r="I25" s="33" t="inlineStr">
        <is>
          <t>Estorno dos incentivos já adiantados em dinheiro no mês. AJUSTAR se algum incentivo não foi adiantado.</t>
        </is>
      </c>
    </row>
    <row r="26">
      <c r="A26" s="30" t="inlineStr">
        <is>
          <t>CONVÊNIO</t>
        </is>
      </c>
      <c r="B26" s="35" t="n"/>
      <c r="C26" s="35" t="n"/>
      <c r="D26" s="35" t="n"/>
      <c r="E26" s="35" t="n"/>
      <c r="F26" s="35" t="n"/>
      <c r="G26" s="35" t="n"/>
      <c r="H26" s="20">
        <f>SUM(B26:G26)</f>
        <v/>
      </c>
      <c r="I26" s="33" t="inlineStr">
        <is>
          <t>PREENCHER conforme o convênio de setembro.</t>
        </is>
      </c>
    </row>
    <row r="27">
      <c r="A27" s="30" t="inlineStr">
        <is>
          <t>DESCONTO FALTAS / ATRASOS</t>
        </is>
      </c>
      <c r="B27" s="35" t="n"/>
      <c r="C27" s="35" t="n"/>
      <c r="D27" s="35" t="n"/>
      <c r="E27" s="35" t="n"/>
      <c r="F27" s="35" t="n"/>
      <c r="G27" s="35" t="n"/>
      <c r="H27" s="20">
        <f>SUM(B27:G27)</f>
        <v/>
      </c>
      <c r="I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>
        <v>-84.29000000000001</v>
      </c>
      <c r="D28" s="31" t="n">
        <v>-84.29000000000001</v>
      </c>
      <c r="E28" s="31" t="n"/>
      <c r="F28" s="31" t="n">
        <v>-84.29000000000001</v>
      </c>
      <c r="G28" s="31" t="n"/>
      <c r="H28" s="32">
        <f>SUM(B28:G28)</f>
        <v/>
      </c>
      <c r="I28" s="33" t="inlineStr">
        <is>
          <t>Valores praticados em ago/26. 6% sobre R$ 1.621,00 seria R$ 97,26 — CONFERIR a base usada.</t>
        </is>
      </c>
    </row>
    <row r="29">
      <c r="A29" s="30" t="inlineStr">
        <is>
          <t>DESCONTO INSS</t>
        </is>
      </c>
      <c r="B29" s="35" t="n"/>
      <c r="C29" s="35" t="n"/>
      <c r="D29" s="35" t="n"/>
      <c r="E29" s="35" t="n"/>
      <c r="F29" s="35" t="n"/>
      <c r="G29" s="35" t="n"/>
      <c r="H29" s="20">
        <f>SUM(B29:G29)</f>
        <v/>
      </c>
      <c r="I29" s="33" t="inlineStr">
        <is>
          <t>A CALCULAR PELA CONTABILIDADE sobre o total de proventos.</t>
        </is>
      </c>
    </row>
    <row r="30">
      <c r="A30" s="30" t="inlineStr">
        <is>
          <t>DESCONTO IRRF</t>
        </is>
      </c>
      <c r="B30" s="35" t="n"/>
      <c r="C30" s="35" t="n"/>
      <c r="D30" s="35" t="n"/>
      <c r="E30" s="35" t="n"/>
      <c r="F30" s="35" t="n"/>
      <c r="G30" s="35" t="n"/>
      <c r="H30" s="20">
        <f>SUM(B30:G30)</f>
        <v/>
      </c>
      <c r="I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SUM(B31:G31)</f>
        <v/>
      </c>
      <c r="I31" s="33" t="inlineStr"/>
    </row>
    <row r="32" ht="19" customHeight="1">
      <c r="A32" s="3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</row>
    <row r="33">
      <c r="A33" s="15" t="inlineStr">
        <is>
          <t>LÍQUIDO A RECEBER (05/10/2026)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SUM(B33:G33)</f>
        <v/>
      </c>
      <c r="I33" s="33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</row>
    <row r="35">
      <c r="A35" s="30" t="inlineStr">
        <is>
          <t>VALE TRANSPORTE (compra out/26)</t>
        </is>
      </c>
      <c r="B35" s="35" t="n"/>
      <c r="C35" s="35" t="n"/>
      <c r="D35" s="35" t="n"/>
      <c r="E35" s="35" t="n"/>
      <c r="F35" s="35" t="n"/>
      <c r="G35" s="35" t="n"/>
      <c r="H35" s="20">
        <f>SUM(B35:G35)</f>
        <v/>
      </c>
      <c r="I35" s="33" t="inlineStr">
        <is>
          <t>PREENCHER com as passagens compradas para outubro/2026.</t>
        </is>
      </c>
    </row>
    <row r="36">
      <c r="A36" s="30" t="inlineStr">
        <is>
          <t>VALE ALIMENTAÇÃO FERIADOS E DOMINGOS</t>
        </is>
      </c>
      <c r="B36" s="35" t="n"/>
      <c r="C36" s="35" t="n"/>
      <c r="D36" s="35" t="n"/>
      <c r="E36" s="35" t="n"/>
      <c r="F36" s="35" t="n"/>
      <c r="G36" s="35" t="n"/>
      <c r="H36" s="20">
        <f>SUM(B36:G36)</f>
        <v/>
      </c>
      <c r="I36" s="33" t="inlineStr">
        <is>
          <t>PREENCHER conforme escala de domingos e feriados.</t>
        </is>
      </c>
    </row>
    <row r="37">
      <c r="A37" s="30" t="inlineStr">
        <is>
          <t>FÉRIAS PAGAS À PARTE (CONTAS A PAGAR)</t>
        </is>
      </c>
      <c r="B37" s="31" t="n"/>
      <c r="C37" s="31" t="n"/>
      <c r="D37" s="31" t="n"/>
      <c r="E37" s="31" t="n"/>
      <c r="F37" s="31" t="n"/>
      <c r="G37" s="31" t="n"/>
      <c r="H37" s="32">
        <f>SUM(B37:G37)</f>
        <v/>
      </c>
      <c r="I37" s="33" t="inlineStr">
        <is>
          <t>Recibo de férias pago fora do holerite — lembrete para o contas a pagar. RENALDO: férias de 01 a 30/09/2026 — informar o valor do recibo.</t>
        </is>
      </c>
    </row>
    <row r="39">
      <c r="A39" s="21" t="inlineStr">
        <is>
          <t>LEGENDA</t>
        </is>
      </c>
      <c r="B39" s="22" t="inlineStr"/>
    </row>
    <row r="40">
      <c r="A40" s="21" t="inlineStr">
        <is>
          <t>Célula amarela, texto azul</t>
        </is>
      </c>
      <c r="B40" s="22" t="inlineStr">
        <is>
          <t>valor digitado — PREENCHER ou conferir antes de enviar.</t>
        </is>
      </c>
    </row>
    <row r="41">
      <c r="A41" s="21" t="inlineStr">
        <is>
          <t>Célula laranja</t>
        </is>
      </c>
      <c r="B41" s="22" t="inlineStr">
        <is>
          <t>valor repetido de agosto/2026 — CONFERIR se continua válido em setembro.</t>
        </is>
      </c>
    </row>
    <row r="42">
      <c r="A42" s="21" t="inlineStr">
        <is>
          <t>Texto verde</t>
        </is>
      </c>
      <c r="B42" s="22" t="inlineStr">
        <is>
          <t>valor puxado da aba BASE INOVAFARMA SET.26 (não digitar por cima).</t>
        </is>
      </c>
    </row>
    <row r="43">
      <c r="A43" s="21" t="inlineStr">
        <is>
          <t>Texto preto em célula verde</t>
        </is>
      </c>
      <c r="B43" s="22" t="inlineStr">
        <is>
          <t>resultado de fórmula — não alterar.</t>
        </is>
      </c>
    </row>
  </sheetData>
  <autoFilter ref="A4:I37"/>
  <mergeCells count="7">
    <mergeCell ref="A2:I2"/>
    <mergeCell ref="B39:I39"/>
    <mergeCell ref="A1:I1"/>
    <mergeCell ref="B42:I42"/>
    <mergeCell ref="B43:I43"/>
    <mergeCell ref="B41:I41"/>
    <mergeCell ref="B40:I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7" t="inlineStr">
        <is>
          <t>FUNCIONÁRIO</t>
        </is>
      </c>
      <c r="B4" s="27" t="inlineStr">
        <is>
          <t>RUBRICA</t>
        </is>
      </c>
      <c r="C4" s="27" t="inlineStr">
        <is>
          <t>TIPO</t>
        </is>
      </c>
      <c r="D4" s="27" t="inlineStr">
        <is>
          <t>VALOR</t>
        </is>
      </c>
      <c r="E4" s="27" t="inlineStr">
        <is>
          <t>OBSERVAÇÃO</t>
        </is>
      </c>
    </row>
    <row r="5">
      <c r="A5" s="30" t="inlineStr">
        <is>
          <t>ARIANE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SET.26'!B6</f>
        <v/>
      </c>
      <c r="E5" s="39" t="n"/>
    </row>
    <row r="6">
      <c r="A6" s="30" t="inlineStr">
        <is>
          <t>ARIANE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SET.26'!B7</f>
        <v/>
      </c>
      <c r="E6" s="39" t="n"/>
    </row>
    <row r="7">
      <c r="A7" s="30" t="inlineStr">
        <is>
          <t>ARIANE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SET.26'!B8</f>
        <v/>
      </c>
      <c r="E7" s="39" t="n"/>
    </row>
    <row r="8">
      <c r="A8" s="30" t="inlineStr">
        <is>
          <t>ARIANE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SET.26'!B11</f>
        <v/>
      </c>
      <c r="E8" s="39" t="n"/>
    </row>
    <row r="9">
      <c r="A9" s="30" t="inlineStr">
        <is>
          <t>ARIANE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SET.26'!B12</f>
        <v/>
      </c>
      <c r="E9" s="39" t="n"/>
    </row>
    <row r="10">
      <c r="A10" s="30" t="inlineStr">
        <is>
          <t>ARIANE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SET.26'!B13</f>
        <v/>
      </c>
      <c r="E10" s="39" t="n"/>
    </row>
    <row r="11">
      <c r="A11" s="30" t="inlineStr">
        <is>
          <t>ARIANE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SET.26'!B14</f>
        <v/>
      </c>
      <c r="E11" s="39" t="n"/>
    </row>
    <row r="12">
      <c r="A12" s="30" t="inlineStr">
        <is>
          <t>ARIANE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SET.26'!B15</f>
        <v/>
      </c>
      <c r="E12" s="39" t="n"/>
    </row>
    <row r="13">
      <c r="A13" s="30" t="inlineStr">
        <is>
          <t>ARIANE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SET.26'!B16</f>
        <v/>
      </c>
      <c r="E13" s="39" t="n"/>
    </row>
    <row r="14">
      <c r="A14" s="30" t="inlineStr">
        <is>
          <t>ARIANE</t>
        </is>
      </c>
      <c r="B14" s="30" t="inlineStr">
        <is>
          <t>FÉRIAS</t>
        </is>
      </c>
      <c r="C14" s="30" t="inlineStr">
        <is>
          <t>Provento</t>
        </is>
      </c>
      <c r="D14" s="34">
        <f>'HOLERITE SET.26'!B17</f>
        <v/>
      </c>
      <c r="E14" s="39" t="n"/>
    </row>
    <row r="15">
      <c r="A15" s="30" t="inlineStr">
        <is>
          <t>ARIANE</t>
        </is>
      </c>
      <c r="B15" s="30" t="inlineStr">
        <is>
          <t>1/3 CONSTITUCIONAL DE FÉRIAS</t>
        </is>
      </c>
      <c r="C15" s="30" t="inlineStr">
        <is>
          <t>Provento</t>
        </is>
      </c>
      <c r="D15" s="34">
        <f>'HOLERITE SET.26'!B18</f>
        <v/>
      </c>
      <c r="E15" s="39" t="n"/>
    </row>
    <row r="16">
      <c r="A16" s="30" t="inlineStr">
        <is>
          <t>ARIANE</t>
        </is>
      </c>
      <c r="B16" s="30" t="inlineStr">
        <is>
          <t>INCENTIVO APLICAÇÕES</t>
        </is>
      </c>
      <c r="C16" s="30" t="inlineStr">
        <is>
          <t>Provento</t>
        </is>
      </c>
      <c r="D16" s="34">
        <f>'HOLERITE SET.26'!B19</f>
        <v/>
      </c>
      <c r="E16" s="39" t="n"/>
    </row>
    <row r="17">
      <c r="A17" s="30" t="inlineStr">
        <is>
          <t>ARIANE</t>
        </is>
      </c>
      <c r="B17" s="30" t="inlineStr">
        <is>
          <t>INCENTIVO VITAMINAS</t>
        </is>
      </c>
      <c r="C17" s="30" t="inlineStr">
        <is>
          <t>Provento</t>
        </is>
      </c>
      <c r="D17" s="34">
        <f>'HOLERITE SET.26'!B20</f>
        <v/>
      </c>
      <c r="E17" s="39" t="n"/>
    </row>
    <row r="18">
      <c r="A18" s="30" t="inlineStr">
        <is>
          <t>ARIANE</t>
        </is>
      </c>
      <c r="B18" s="30" t="inlineStr">
        <is>
          <t>OUTROS INCENTIVOS</t>
        </is>
      </c>
      <c r="C18" s="30" t="inlineStr">
        <is>
          <t>Provento</t>
        </is>
      </c>
      <c r="D18" s="34">
        <f>'HOLERITE SET.26'!B21</f>
        <v/>
      </c>
      <c r="E18" s="39" t="n"/>
    </row>
    <row r="19">
      <c r="A19" s="40" t="inlineStr">
        <is>
          <t>ARIANE</t>
        </is>
      </c>
      <c r="B19" s="40" t="inlineStr">
        <is>
          <t>TOTAL DE PROVENTOS</t>
        </is>
      </c>
      <c r="C19" s="40" t="inlineStr">
        <is>
          <t>Subtotal</t>
        </is>
      </c>
      <c r="D19" s="41">
        <f>'HOLERITE SET.26'!B22</f>
        <v/>
      </c>
      <c r="E19" s="18" t="n"/>
    </row>
    <row r="20">
      <c r="A20" s="30" t="inlineStr">
        <is>
          <t>ARIANE</t>
        </is>
      </c>
      <c r="B20" s="30" t="inlineStr">
        <is>
          <t>ADIANTAMENTO SALARIAL / VALES</t>
        </is>
      </c>
      <c r="C20" s="30" t="inlineStr">
        <is>
          <t>Desconto</t>
        </is>
      </c>
      <c r="D20" s="34">
        <f>'HOLERITE SET.26'!B24</f>
        <v/>
      </c>
      <c r="E20" s="39" t="n"/>
    </row>
    <row r="21">
      <c r="A21" s="30" t="inlineStr">
        <is>
          <t>ARIANE</t>
        </is>
      </c>
      <c r="B21" s="30" t="inlineStr">
        <is>
          <t>ADIANT. VALES INCENT. E APLIC.</t>
        </is>
      </c>
      <c r="C21" s="30" t="inlineStr">
        <is>
          <t>Desconto</t>
        </is>
      </c>
      <c r="D21" s="34">
        <f>'HOLERITE SET.26'!B25</f>
        <v/>
      </c>
      <c r="E21" s="39" t="n"/>
    </row>
    <row r="22">
      <c r="A22" s="30" t="inlineStr">
        <is>
          <t>ARIANE</t>
        </is>
      </c>
      <c r="B22" s="30" t="inlineStr">
        <is>
          <t>CONVÊNIO</t>
        </is>
      </c>
      <c r="C22" s="30" t="inlineStr">
        <is>
          <t>Desconto</t>
        </is>
      </c>
      <c r="D22" s="34">
        <f>'HOLERITE SET.26'!B26</f>
        <v/>
      </c>
      <c r="E22" s="39" t="n"/>
    </row>
    <row r="23">
      <c r="A23" s="30" t="inlineStr">
        <is>
          <t>ARIANE</t>
        </is>
      </c>
      <c r="B23" s="30" t="inlineStr">
        <is>
          <t>DESCONTO FALTAS / ATRASOS</t>
        </is>
      </c>
      <c r="C23" s="30" t="inlineStr">
        <is>
          <t>Desconto</t>
        </is>
      </c>
      <c r="D23" s="34">
        <f>'HOLERITE SET.26'!B27</f>
        <v/>
      </c>
      <c r="E23" s="39" t="n"/>
    </row>
    <row r="24">
      <c r="A24" s="30" t="inlineStr">
        <is>
          <t>ARIANE</t>
        </is>
      </c>
      <c r="B24" s="30" t="inlineStr">
        <is>
          <t>DESCONTO VALE TRANSPORTE 6%</t>
        </is>
      </c>
      <c r="C24" s="30" t="inlineStr">
        <is>
          <t>Desconto</t>
        </is>
      </c>
      <c r="D24" s="34">
        <f>'HOLERITE SET.26'!B28</f>
        <v/>
      </c>
      <c r="E24" s="39" t="n"/>
    </row>
    <row r="25">
      <c r="A25" s="30" t="inlineStr">
        <is>
          <t>ARIANE</t>
        </is>
      </c>
      <c r="B25" s="30" t="inlineStr">
        <is>
          <t>DESCONTO INSS</t>
        </is>
      </c>
      <c r="C25" s="30" t="inlineStr">
        <is>
          <t>Desconto</t>
        </is>
      </c>
      <c r="D25" s="34">
        <f>'HOLERITE SET.26'!B29</f>
        <v/>
      </c>
      <c r="E25" s="39" t="n"/>
    </row>
    <row r="26">
      <c r="A26" s="30" t="inlineStr">
        <is>
          <t>ARIANE</t>
        </is>
      </c>
      <c r="B26" s="30" t="inlineStr">
        <is>
          <t>DESCONTO IRRF</t>
        </is>
      </c>
      <c r="C26" s="30" t="inlineStr">
        <is>
          <t>Desconto</t>
        </is>
      </c>
      <c r="D26" s="34">
        <f>'HOLERITE SET.26'!B30</f>
        <v/>
      </c>
      <c r="E26" s="39" t="n"/>
    </row>
    <row r="27">
      <c r="A27" s="40" t="inlineStr">
        <is>
          <t>ARIANE</t>
        </is>
      </c>
      <c r="B27" s="40" t="inlineStr">
        <is>
          <t>TOTAL DE DESCONTOS</t>
        </is>
      </c>
      <c r="C27" s="40" t="inlineStr">
        <is>
          <t>Subtotal</t>
        </is>
      </c>
      <c r="D27" s="41">
        <f>'HOLERITE SET.26'!B31</f>
        <v/>
      </c>
      <c r="E27" s="18" t="n"/>
    </row>
    <row r="28">
      <c r="A28" s="42" t="inlineStr">
        <is>
          <t>ARIANE</t>
        </is>
      </c>
      <c r="B28" s="43" t="inlineStr">
        <is>
          <t>LÍQUIDO A RECEBER</t>
        </is>
      </c>
      <c r="C28" s="43" t="inlineStr">
        <is>
          <t>Líquido</t>
        </is>
      </c>
      <c r="D28" s="44">
        <f>'HOLERITE SET.26'!B33</f>
        <v/>
      </c>
      <c r="E28" s="45" t="n"/>
    </row>
    <row r="30">
      <c r="A30" s="30" t="inlineStr">
        <is>
          <t>ELIANA</t>
        </is>
      </c>
      <c r="B30" s="30" t="inlineStr">
        <is>
          <t>SALÁRIO BASE</t>
        </is>
      </c>
      <c r="C30" s="30" t="inlineStr">
        <is>
          <t>Provento</t>
        </is>
      </c>
      <c r="D30" s="34">
        <f>'HOLERITE SET.26'!C6</f>
        <v/>
      </c>
      <c r="E30" s="39" t="n"/>
    </row>
    <row r="31">
      <c r="A31" s="30" t="inlineStr">
        <is>
          <t>ELIANA</t>
        </is>
      </c>
      <c r="B31" s="30" t="inlineStr">
        <is>
          <t>ADICIONAL NOTURNO</t>
        </is>
      </c>
      <c r="C31" s="30" t="inlineStr">
        <is>
          <t>Provento</t>
        </is>
      </c>
      <c r="D31" s="34">
        <f>'HOLERITE SET.26'!C7</f>
        <v/>
      </c>
      <c r="E31" s="39" t="n"/>
    </row>
    <row r="32">
      <c r="A32" s="30" t="inlineStr">
        <is>
          <t>ELIANA</t>
        </is>
      </c>
      <c r="B32" s="30" t="inlineStr">
        <is>
          <t>HORAS EXTRAS</t>
        </is>
      </c>
      <c r="C32" s="30" t="inlineStr">
        <is>
          <t>Provento</t>
        </is>
      </c>
      <c r="D32" s="34">
        <f>'HOLERITE SET.26'!C8</f>
        <v/>
      </c>
      <c r="E32" s="39" t="n"/>
    </row>
    <row r="33">
      <c r="A33" s="30" t="inlineStr">
        <is>
          <t>ELIANA</t>
        </is>
      </c>
      <c r="B33" s="30" t="inlineStr">
        <is>
          <t>COMISSÃO SOBRE VENDAS</t>
        </is>
      </c>
      <c r="C33" s="30" t="inlineStr">
        <is>
          <t>Provento</t>
        </is>
      </c>
      <c r="D33" s="34">
        <f>'HOLERITE SET.26'!C11</f>
        <v/>
      </c>
      <c r="E33" s="39" t="n"/>
    </row>
    <row r="34">
      <c r="A34" s="30" t="inlineStr">
        <is>
          <t>ELIANA</t>
        </is>
      </c>
      <c r="B34" s="30" t="inlineStr">
        <is>
          <t>REPOUSO REMUNERADO / DSR</t>
        </is>
      </c>
      <c r="C34" s="30" t="inlineStr">
        <is>
          <t>Provento</t>
        </is>
      </c>
      <c r="D34" s="34">
        <f>'HOLERITE SET.26'!C12</f>
        <v/>
      </c>
      <c r="E34" s="39" t="n"/>
    </row>
    <row r="35">
      <c r="A35" s="30" t="inlineStr">
        <is>
          <t>ELIANA</t>
        </is>
      </c>
      <c r="B35" s="30" t="inlineStr">
        <is>
          <t>AUXÍLIO GERÊNCIA</t>
        </is>
      </c>
      <c r="C35" s="30" t="inlineStr">
        <is>
          <t>Provento</t>
        </is>
      </c>
      <c r="D35" s="34">
        <f>'HOLERITE SET.26'!C13</f>
        <v/>
      </c>
      <c r="E35" s="39" t="n"/>
    </row>
    <row r="36">
      <c r="A36" s="30" t="inlineStr">
        <is>
          <t>ELIANA</t>
        </is>
      </c>
      <c r="B36" s="30" t="inlineStr">
        <is>
          <t>ADICIONAL PRÊMIO META CAIXA</t>
        </is>
      </c>
      <c r="C36" s="30" t="inlineStr">
        <is>
          <t>Provento</t>
        </is>
      </c>
      <c r="D36" s="34">
        <f>'HOLERITE SET.26'!C14</f>
        <v/>
      </c>
      <c r="E36" s="39" t="n"/>
    </row>
    <row r="37">
      <c r="A37" s="30" t="inlineStr">
        <is>
          <t>ELIANA</t>
        </is>
      </c>
      <c r="B37" s="30" t="inlineStr">
        <is>
          <t>PRÊMIO COTA GERAL</t>
        </is>
      </c>
      <c r="C37" s="30" t="inlineStr">
        <is>
          <t>Provento</t>
        </is>
      </c>
      <c r="D37" s="34">
        <f>'HOLERITE SET.26'!C15</f>
        <v/>
      </c>
      <c r="E37" s="39" t="n"/>
    </row>
    <row r="38">
      <c r="A38" s="30" t="inlineStr">
        <is>
          <t>ELIANA</t>
        </is>
      </c>
      <c r="B38" s="30" t="inlineStr">
        <is>
          <t>PRÊMIO PRÉ-VENCIDOS</t>
        </is>
      </c>
      <c r="C38" s="30" t="inlineStr">
        <is>
          <t>Provento</t>
        </is>
      </c>
      <c r="D38" s="34">
        <f>'HOLERITE SET.26'!C16</f>
        <v/>
      </c>
      <c r="E38" s="39" t="n"/>
    </row>
    <row r="39">
      <c r="A39" s="30" t="inlineStr">
        <is>
          <t>ELIANA</t>
        </is>
      </c>
      <c r="B39" s="30" t="inlineStr">
        <is>
          <t>FÉRIAS</t>
        </is>
      </c>
      <c r="C39" s="30" t="inlineStr">
        <is>
          <t>Provento</t>
        </is>
      </c>
      <c r="D39" s="34">
        <f>'HOLERITE SET.26'!C17</f>
        <v/>
      </c>
      <c r="E39" s="39" t="n"/>
    </row>
    <row r="40">
      <c r="A40" s="30" t="inlineStr">
        <is>
          <t>ELIANA</t>
        </is>
      </c>
      <c r="B40" s="30" t="inlineStr">
        <is>
          <t>1/3 CONSTITUCIONAL DE FÉRIAS</t>
        </is>
      </c>
      <c r="C40" s="30" t="inlineStr">
        <is>
          <t>Provento</t>
        </is>
      </c>
      <c r="D40" s="34">
        <f>'HOLERITE SET.26'!C18</f>
        <v/>
      </c>
      <c r="E40" s="39" t="n"/>
    </row>
    <row r="41">
      <c r="A41" s="30" t="inlineStr">
        <is>
          <t>ELIANA</t>
        </is>
      </c>
      <c r="B41" s="30" t="inlineStr">
        <is>
          <t>INCENTIVO APLICAÇÕES</t>
        </is>
      </c>
      <c r="C41" s="30" t="inlineStr">
        <is>
          <t>Provento</t>
        </is>
      </c>
      <c r="D41" s="34">
        <f>'HOLERITE SET.26'!C19</f>
        <v/>
      </c>
      <c r="E41" s="39" t="n"/>
    </row>
    <row r="42">
      <c r="A42" s="30" t="inlineStr">
        <is>
          <t>ELIANA</t>
        </is>
      </c>
      <c r="B42" s="30" t="inlineStr">
        <is>
          <t>INCENTIVO VITAMINAS</t>
        </is>
      </c>
      <c r="C42" s="30" t="inlineStr">
        <is>
          <t>Provento</t>
        </is>
      </c>
      <c r="D42" s="34">
        <f>'HOLERITE SET.26'!C20</f>
        <v/>
      </c>
      <c r="E42" s="39" t="n"/>
    </row>
    <row r="43">
      <c r="A43" s="30" t="inlineStr">
        <is>
          <t>ELIANA</t>
        </is>
      </c>
      <c r="B43" s="30" t="inlineStr">
        <is>
          <t>OUTROS INCENTIVOS</t>
        </is>
      </c>
      <c r="C43" s="30" t="inlineStr">
        <is>
          <t>Provento</t>
        </is>
      </c>
      <c r="D43" s="34">
        <f>'HOLERITE SET.26'!C21</f>
        <v/>
      </c>
      <c r="E43" s="39" t="n"/>
    </row>
    <row r="44">
      <c r="A44" s="40" t="inlineStr">
        <is>
          <t>ELIANA</t>
        </is>
      </c>
      <c r="B44" s="40" t="inlineStr">
        <is>
          <t>TOTAL DE PROVENTOS</t>
        </is>
      </c>
      <c r="C44" s="40" t="inlineStr">
        <is>
          <t>Subtotal</t>
        </is>
      </c>
      <c r="D44" s="41">
        <f>'HOLERITE SET.26'!C22</f>
        <v/>
      </c>
      <c r="E44" s="18" t="n"/>
    </row>
    <row r="45">
      <c r="A45" s="30" t="inlineStr">
        <is>
          <t>ELIANA</t>
        </is>
      </c>
      <c r="B45" s="30" t="inlineStr">
        <is>
          <t>ADIANTAMENTO SALARIAL / VALES</t>
        </is>
      </c>
      <c r="C45" s="30" t="inlineStr">
        <is>
          <t>Desconto</t>
        </is>
      </c>
      <c r="D45" s="34">
        <f>'HOLERITE SET.26'!C24</f>
        <v/>
      </c>
      <c r="E45" s="39" t="n"/>
    </row>
    <row r="46">
      <c r="A46" s="30" t="inlineStr">
        <is>
          <t>ELIANA</t>
        </is>
      </c>
      <c r="B46" s="30" t="inlineStr">
        <is>
          <t>ADIANT. VALES INCENT. E APLIC.</t>
        </is>
      </c>
      <c r="C46" s="30" t="inlineStr">
        <is>
          <t>Desconto</t>
        </is>
      </c>
      <c r="D46" s="34">
        <f>'HOLERITE SET.26'!C25</f>
        <v/>
      </c>
      <c r="E46" s="39" t="n"/>
    </row>
    <row r="47">
      <c r="A47" s="30" t="inlineStr">
        <is>
          <t>ELIANA</t>
        </is>
      </c>
      <c r="B47" s="30" t="inlineStr">
        <is>
          <t>CONVÊNIO</t>
        </is>
      </c>
      <c r="C47" s="30" t="inlineStr">
        <is>
          <t>Desconto</t>
        </is>
      </c>
      <c r="D47" s="34">
        <f>'HOLERITE SET.26'!C26</f>
        <v/>
      </c>
      <c r="E47" s="39" t="n"/>
    </row>
    <row r="48">
      <c r="A48" s="30" t="inlineStr">
        <is>
          <t>ELIANA</t>
        </is>
      </c>
      <c r="B48" s="30" t="inlineStr">
        <is>
          <t>DESCONTO FALTAS / ATRASOS</t>
        </is>
      </c>
      <c r="C48" s="30" t="inlineStr">
        <is>
          <t>Desconto</t>
        </is>
      </c>
      <c r="D48" s="34">
        <f>'HOLERITE SET.26'!C27</f>
        <v/>
      </c>
      <c r="E48" s="39" t="n"/>
    </row>
    <row r="49">
      <c r="A49" s="30" t="inlineStr">
        <is>
          <t>ELIANA</t>
        </is>
      </c>
      <c r="B49" s="30" t="inlineStr">
        <is>
          <t>DESCONTO VALE TRANSPORTE 6%</t>
        </is>
      </c>
      <c r="C49" s="30" t="inlineStr">
        <is>
          <t>Desconto</t>
        </is>
      </c>
      <c r="D49" s="34">
        <f>'HOLERITE SET.26'!C28</f>
        <v/>
      </c>
      <c r="E49" s="39" t="n"/>
    </row>
    <row r="50">
      <c r="A50" s="30" t="inlineStr">
        <is>
          <t>ELIANA</t>
        </is>
      </c>
      <c r="B50" s="30" t="inlineStr">
        <is>
          <t>DESCONTO INSS</t>
        </is>
      </c>
      <c r="C50" s="30" t="inlineStr">
        <is>
          <t>Desconto</t>
        </is>
      </c>
      <c r="D50" s="34">
        <f>'HOLERITE SET.26'!C29</f>
        <v/>
      </c>
      <c r="E50" s="39" t="n"/>
    </row>
    <row r="51">
      <c r="A51" s="30" t="inlineStr">
        <is>
          <t>ELIANA</t>
        </is>
      </c>
      <c r="B51" s="30" t="inlineStr">
        <is>
          <t>DESCONTO IRRF</t>
        </is>
      </c>
      <c r="C51" s="30" t="inlineStr">
        <is>
          <t>Desconto</t>
        </is>
      </c>
      <c r="D51" s="34">
        <f>'HOLERITE SET.26'!C30</f>
        <v/>
      </c>
      <c r="E51" s="39" t="n"/>
    </row>
    <row r="52">
      <c r="A52" s="40" t="inlineStr">
        <is>
          <t>ELIANA</t>
        </is>
      </c>
      <c r="B52" s="40" t="inlineStr">
        <is>
          <t>TOTAL DE DESCONTOS</t>
        </is>
      </c>
      <c r="C52" s="40" t="inlineStr">
        <is>
          <t>Subtotal</t>
        </is>
      </c>
      <c r="D52" s="41">
        <f>'HOLERITE SET.26'!C31</f>
        <v/>
      </c>
      <c r="E52" s="18" t="n"/>
    </row>
    <row r="53">
      <c r="A53" s="42" t="inlineStr">
        <is>
          <t>ELIANA</t>
        </is>
      </c>
      <c r="B53" s="43" t="inlineStr">
        <is>
          <t>LÍQUIDO A RECEBER</t>
        </is>
      </c>
      <c r="C53" s="43" t="inlineStr">
        <is>
          <t>Líquido</t>
        </is>
      </c>
      <c r="D53" s="44">
        <f>'HOLERITE SET.26'!C33</f>
        <v/>
      </c>
      <c r="E53" s="45" t="n"/>
    </row>
    <row r="55">
      <c r="A55" s="30" t="inlineStr">
        <is>
          <t>GENECIR</t>
        </is>
      </c>
      <c r="B55" s="30" t="inlineStr">
        <is>
          <t>SALÁRIO BASE</t>
        </is>
      </c>
      <c r="C55" s="30" t="inlineStr">
        <is>
          <t>Provento</t>
        </is>
      </c>
      <c r="D55" s="34">
        <f>'HOLERITE SET.26'!D6</f>
        <v/>
      </c>
      <c r="E55" s="39" t="n"/>
    </row>
    <row r="56">
      <c r="A56" s="30" t="inlineStr">
        <is>
          <t>GENECIR</t>
        </is>
      </c>
      <c r="B56" s="30" t="inlineStr">
        <is>
          <t>ADICIONAL NOTURNO</t>
        </is>
      </c>
      <c r="C56" s="30" t="inlineStr">
        <is>
          <t>Provento</t>
        </is>
      </c>
      <c r="D56" s="34">
        <f>'HOLERITE SET.26'!D7</f>
        <v/>
      </c>
      <c r="E56" s="39" t="n"/>
    </row>
    <row r="57">
      <c r="A57" s="30" t="inlineStr">
        <is>
          <t>GENECIR</t>
        </is>
      </c>
      <c r="B57" s="30" t="inlineStr">
        <is>
          <t>HORAS EXTRAS</t>
        </is>
      </c>
      <c r="C57" s="30" t="inlineStr">
        <is>
          <t>Provento</t>
        </is>
      </c>
      <c r="D57" s="34">
        <f>'HOLERITE SET.26'!D8</f>
        <v/>
      </c>
      <c r="E57" s="39" t="n"/>
    </row>
    <row r="58">
      <c r="A58" s="30" t="inlineStr">
        <is>
          <t>GENECIR</t>
        </is>
      </c>
      <c r="B58" s="30" t="inlineStr">
        <is>
          <t>COMISSÃO SOBRE VENDAS</t>
        </is>
      </c>
      <c r="C58" s="30" t="inlineStr">
        <is>
          <t>Provento</t>
        </is>
      </c>
      <c r="D58" s="34">
        <f>'HOLERITE SET.26'!D11</f>
        <v/>
      </c>
      <c r="E58" s="39" t="n"/>
    </row>
    <row r="59">
      <c r="A59" s="30" t="inlineStr">
        <is>
          <t>GENECIR</t>
        </is>
      </c>
      <c r="B59" s="30" t="inlineStr">
        <is>
          <t>REPOUSO REMUNERADO / DSR</t>
        </is>
      </c>
      <c r="C59" s="30" t="inlineStr">
        <is>
          <t>Provento</t>
        </is>
      </c>
      <c r="D59" s="34">
        <f>'HOLERITE SET.26'!D12</f>
        <v/>
      </c>
      <c r="E59" s="39" t="n"/>
    </row>
    <row r="60">
      <c r="A60" s="30" t="inlineStr">
        <is>
          <t>GENECIR</t>
        </is>
      </c>
      <c r="B60" s="30" t="inlineStr">
        <is>
          <t>AUXÍLIO GERÊNCIA</t>
        </is>
      </c>
      <c r="C60" s="30" t="inlineStr">
        <is>
          <t>Provento</t>
        </is>
      </c>
      <c r="D60" s="34">
        <f>'HOLERITE SET.26'!D13</f>
        <v/>
      </c>
      <c r="E60" s="39" t="n"/>
    </row>
    <row r="61">
      <c r="A61" s="30" t="inlineStr">
        <is>
          <t>GENECIR</t>
        </is>
      </c>
      <c r="B61" s="30" t="inlineStr">
        <is>
          <t>ADICIONAL PRÊMIO META CAIXA</t>
        </is>
      </c>
      <c r="C61" s="30" t="inlineStr">
        <is>
          <t>Provento</t>
        </is>
      </c>
      <c r="D61" s="34">
        <f>'HOLERITE SET.26'!D14</f>
        <v/>
      </c>
      <c r="E61" s="39" t="n"/>
    </row>
    <row r="62">
      <c r="A62" s="30" t="inlineStr">
        <is>
          <t>GENECIR</t>
        </is>
      </c>
      <c r="B62" s="30" t="inlineStr">
        <is>
          <t>PRÊMIO COTA GERAL</t>
        </is>
      </c>
      <c r="C62" s="30" t="inlineStr">
        <is>
          <t>Provento</t>
        </is>
      </c>
      <c r="D62" s="34">
        <f>'HOLERITE SET.26'!D15</f>
        <v/>
      </c>
      <c r="E62" s="39" t="n"/>
    </row>
    <row r="63">
      <c r="A63" s="30" t="inlineStr">
        <is>
          <t>GENECIR</t>
        </is>
      </c>
      <c r="B63" s="30" t="inlineStr">
        <is>
          <t>PRÊMIO PRÉ-VENCIDOS</t>
        </is>
      </c>
      <c r="C63" s="30" t="inlineStr">
        <is>
          <t>Provento</t>
        </is>
      </c>
      <c r="D63" s="34">
        <f>'HOLERITE SET.26'!D16</f>
        <v/>
      </c>
      <c r="E63" s="39" t="n"/>
    </row>
    <row r="64">
      <c r="A64" s="30" t="inlineStr">
        <is>
          <t>GENECIR</t>
        </is>
      </c>
      <c r="B64" s="30" t="inlineStr">
        <is>
          <t>FÉRIAS</t>
        </is>
      </c>
      <c r="C64" s="30" t="inlineStr">
        <is>
          <t>Provento</t>
        </is>
      </c>
      <c r="D64" s="34">
        <f>'HOLERITE SET.26'!D17</f>
        <v/>
      </c>
      <c r="E64" s="39" t="n"/>
    </row>
    <row r="65">
      <c r="A65" s="30" t="inlineStr">
        <is>
          <t>GENECIR</t>
        </is>
      </c>
      <c r="B65" s="30" t="inlineStr">
        <is>
          <t>1/3 CONSTITUCIONAL DE FÉRIAS</t>
        </is>
      </c>
      <c r="C65" s="30" t="inlineStr">
        <is>
          <t>Provento</t>
        </is>
      </c>
      <c r="D65" s="34">
        <f>'HOLERITE SET.26'!D18</f>
        <v/>
      </c>
      <c r="E65" s="39" t="n"/>
    </row>
    <row r="66">
      <c r="A66" s="30" t="inlineStr">
        <is>
          <t>GENECIR</t>
        </is>
      </c>
      <c r="B66" s="30" t="inlineStr">
        <is>
          <t>INCENTIVO APLICAÇÕES</t>
        </is>
      </c>
      <c r="C66" s="30" t="inlineStr">
        <is>
          <t>Provento</t>
        </is>
      </c>
      <c r="D66" s="34">
        <f>'HOLERITE SET.26'!D19</f>
        <v/>
      </c>
      <c r="E66" s="39" t="n"/>
    </row>
    <row r="67">
      <c r="A67" s="30" t="inlineStr">
        <is>
          <t>GENECIR</t>
        </is>
      </c>
      <c r="B67" s="30" t="inlineStr">
        <is>
          <t>INCENTIVO VITAMINAS</t>
        </is>
      </c>
      <c r="C67" s="30" t="inlineStr">
        <is>
          <t>Provento</t>
        </is>
      </c>
      <c r="D67" s="34">
        <f>'HOLERITE SET.26'!D20</f>
        <v/>
      </c>
      <c r="E67" s="39" t="n"/>
    </row>
    <row r="68">
      <c r="A68" s="30" t="inlineStr">
        <is>
          <t>GENECIR</t>
        </is>
      </c>
      <c r="B68" s="30" t="inlineStr">
        <is>
          <t>OUTROS INCENTIVOS</t>
        </is>
      </c>
      <c r="C68" s="30" t="inlineStr">
        <is>
          <t>Provento</t>
        </is>
      </c>
      <c r="D68" s="34">
        <f>'HOLERITE SET.26'!D21</f>
        <v/>
      </c>
      <c r="E68" s="39" t="n"/>
    </row>
    <row r="69">
      <c r="A69" s="40" t="inlineStr">
        <is>
          <t>GENECIR</t>
        </is>
      </c>
      <c r="B69" s="40" t="inlineStr">
        <is>
          <t>TOTAL DE PROVENTOS</t>
        </is>
      </c>
      <c r="C69" s="40" t="inlineStr">
        <is>
          <t>Subtotal</t>
        </is>
      </c>
      <c r="D69" s="41">
        <f>'HOLERITE SET.26'!D22</f>
        <v/>
      </c>
      <c r="E69" s="18" t="n"/>
    </row>
    <row r="70">
      <c r="A70" s="30" t="inlineStr">
        <is>
          <t>GENECIR</t>
        </is>
      </c>
      <c r="B70" s="30" t="inlineStr">
        <is>
          <t>ADIANTAMENTO SALARIAL / VALES</t>
        </is>
      </c>
      <c r="C70" s="30" t="inlineStr">
        <is>
          <t>Desconto</t>
        </is>
      </c>
      <c r="D70" s="34">
        <f>'HOLERITE SET.26'!D24</f>
        <v/>
      </c>
      <c r="E70" s="39" t="n"/>
    </row>
    <row r="71">
      <c r="A71" s="30" t="inlineStr">
        <is>
          <t>GENECIR</t>
        </is>
      </c>
      <c r="B71" s="30" t="inlineStr">
        <is>
          <t>ADIANT. VALES INCENT. E APLIC.</t>
        </is>
      </c>
      <c r="C71" s="30" t="inlineStr">
        <is>
          <t>Desconto</t>
        </is>
      </c>
      <c r="D71" s="34">
        <f>'HOLERITE SET.26'!D25</f>
        <v/>
      </c>
      <c r="E71" s="39" t="n"/>
    </row>
    <row r="72">
      <c r="A72" s="30" t="inlineStr">
        <is>
          <t>GENECIR</t>
        </is>
      </c>
      <c r="B72" s="30" t="inlineStr">
        <is>
          <t>CONVÊNIO</t>
        </is>
      </c>
      <c r="C72" s="30" t="inlineStr">
        <is>
          <t>Desconto</t>
        </is>
      </c>
      <c r="D72" s="34">
        <f>'HOLERITE SET.26'!D26</f>
        <v/>
      </c>
      <c r="E72" s="39" t="n"/>
    </row>
    <row r="73">
      <c r="A73" s="30" t="inlineStr">
        <is>
          <t>GENECIR</t>
        </is>
      </c>
      <c r="B73" s="30" t="inlineStr">
        <is>
          <t>DESCONTO FALTAS / ATRASOS</t>
        </is>
      </c>
      <c r="C73" s="30" t="inlineStr">
        <is>
          <t>Desconto</t>
        </is>
      </c>
      <c r="D73" s="34">
        <f>'HOLERITE SET.26'!D27</f>
        <v/>
      </c>
      <c r="E73" s="39" t="n"/>
    </row>
    <row r="74">
      <c r="A74" s="30" t="inlineStr">
        <is>
          <t>GENECIR</t>
        </is>
      </c>
      <c r="B74" s="30" t="inlineStr">
        <is>
          <t>DESCONTO VALE TRANSPORTE 6%</t>
        </is>
      </c>
      <c r="C74" s="30" t="inlineStr">
        <is>
          <t>Desconto</t>
        </is>
      </c>
      <c r="D74" s="34">
        <f>'HOLERITE SET.26'!D28</f>
        <v/>
      </c>
      <c r="E74" s="39" t="n"/>
    </row>
    <row r="75">
      <c r="A75" s="30" t="inlineStr">
        <is>
          <t>GENECIR</t>
        </is>
      </c>
      <c r="B75" s="30" t="inlineStr">
        <is>
          <t>DESCONTO INSS</t>
        </is>
      </c>
      <c r="C75" s="30" t="inlineStr">
        <is>
          <t>Desconto</t>
        </is>
      </c>
      <c r="D75" s="34">
        <f>'HOLERITE SET.26'!D29</f>
        <v/>
      </c>
      <c r="E75" s="39" t="n"/>
    </row>
    <row r="76">
      <c r="A76" s="30" t="inlineStr">
        <is>
          <t>GENECIR</t>
        </is>
      </c>
      <c r="B76" s="30" t="inlineStr">
        <is>
          <t>DESCONTO IRRF</t>
        </is>
      </c>
      <c r="C76" s="30" t="inlineStr">
        <is>
          <t>Desconto</t>
        </is>
      </c>
      <c r="D76" s="34">
        <f>'HOLERITE SET.26'!D30</f>
        <v/>
      </c>
      <c r="E76" s="39" t="n"/>
    </row>
    <row r="77">
      <c r="A77" s="40" t="inlineStr">
        <is>
          <t>GENECIR</t>
        </is>
      </c>
      <c r="B77" s="40" t="inlineStr">
        <is>
          <t>TOTAL DE DESCONTOS</t>
        </is>
      </c>
      <c r="C77" s="40" t="inlineStr">
        <is>
          <t>Subtotal</t>
        </is>
      </c>
      <c r="D77" s="41">
        <f>'HOLERITE SET.26'!D31</f>
        <v/>
      </c>
      <c r="E77" s="18" t="n"/>
    </row>
    <row r="78">
      <c r="A78" s="42" t="inlineStr">
        <is>
          <t>GENECIR</t>
        </is>
      </c>
      <c r="B78" s="43" t="inlineStr">
        <is>
          <t>LÍQUIDO A RECEBER</t>
        </is>
      </c>
      <c r="C78" s="43" t="inlineStr">
        <is>
          <t>Líquido</t>
        </is>
      </c>
      <c r="D78" s="44">
        <f>'HOLERITE SET.26'!D33</f>
        <v/>
      </c>
      <c r="E78" s="45" t="n"/>
    </row>
    <row r="80">
      <c r="A80" s="30" t="inlineStr">
        <is>
          <t>RENALDO</t>
        </is>
      </c>
      <c r="B80" s="30" t="inlineStr">
        <is>
          <t>SALÁRIO BASE</t>
        </is>
      </c>
      <c r="C80" s="30" t="inlineStr">
        <is>
          <t>Provento</t>
        </is>
      </c>
      <c r="D80" s="34">
        <f>'HOLERITE SET.26'!E6</f>
        <v/>
      </c>
      <c r="E80" s="39" t="n"/>
    </row>
    <row r="81">
      <c r="A81" s="30" t="inlineStr">
        <is>
          <t>RENALDO</t>
        </is>
      </c>
      <c r="B81" s="30" t="inlineStr">
        <is>
          <t>ADICIONAL NOTURNO</t>
        </is>
      </c>
      <c r="C81" s="30" t="inlineStr">
        <is>
          <t>Provento</t>
        </is>
      </c>
      <c r="D81" s="34">
        <f>'HOLERITE SET.26'!E7</f>
        <v/>
      </c>
      <c r="E81" s="39" t="n"/>
    </row>
    <row r="82">
      <c r="A82" s="30" t="inlineStr">
        <is>
          <t>RENALDO</t>
        </is>
      </c>
      <c r="B82" s="30" t="inlineStr">
        <is>
          <t>HORAS EXTRAS</t>
        </is>
      </c>
      <c r="C82" s="30" t="inlineStr">
        <is>
          <t>Provento</t>
        </is>
      </c>
      <c r="D82" s="34">
        <f>'HOLERITE SET.26'!E8</f>
        <v/>
      </c>
      <c r="E82" s="39" t="n"/>
    </row>
    <row r="83">
      <c r="A83" s="30" t="inlineStr">
        <is>
          <t>RENALDO</t>
        </is>
      </c>
      <c r="B83" s="30" t="inlineStr">
        <is>
          <t>COMISSÃO SOBRE VENDAS</t>
        </is>
      </c>
      <c r="C83" s="30" t="inlineStr">
        <is>
          <t>Provento</t>
        </is>
      </c>
      <c r="D83" s="34">
        <f>'HOLERITE SET.26'!E11</f>
        <v/>
      </c>
      <c r="E83" s="39" t="n"/>
    </row>
    <row r="84">
      <c r="A84" s="30" t="inlineStr">
        <is>
          <t>RENALDO</t>
        </is>
      </c>
      <c r="B84" s="30" t="inlineStr">
        <is>
          <t>REPOUSO REMUNERADO / DSR</t>
        </is>
      </c>
      <c r="C84" s="30" t="inlineStr">
        <is>
          <t>Provento</t>
        </is>
      </c>
      <c r="D84" s="34">
        <f>'HOLERITE SET.26'!E12</f>
        <v/>
      </c>
      <c r="E84" s="39" t="n"/>
    </row>
    <row r="85">
      <c r="A85" s="30" t="inlineStr">
        <is>
          <t>RENALDO</t>
        </is>
      </c>
      <c r="B85" s="30" t="inlineStr">
        <is>
          <t>AUXÍLIO GERÊNCIA</t>
        </is>
      </c>
      <c r="C85" s="30" t="inlineStr">
        <is>
          <t>Provento</t>
        </is>
      </c>
      <c r="D85" s="34">
        <f>'HOLERITE SET.26'!E13</f>
        <v/>
      </c>
      <c r="E85" s="39" t="n"/>
    </row>
    <row r="86">
      <c r="A86" s="30" t="inlineStr">
        <is>
          <t>RENALDO</t>
        </is>
      </c>
      <c r="B86" s="30" t="inlineStr">
        <is>
          <t>ADICIONAL PRÊMIO META CAIXA</t>
        </is>
      </c>
      <c r="C86" s="30" t="inlineStr">
        <is>
          <t>Provento</t>
        </is>
      </c>
      <c r="D86" s="34">
        <f>'HOLERITE SET.26'!E14</f>
        <v/>
      </c>
      <c r="E86" s="39" t="n"/>
    </row>
    <row r="87">
      <c r="A87" s="30" t="inlineStr">
        <is>
          <t>RENALDO</t>
        </is>
      </c>
      <c r="B87" s="30" t="inlineStr">
        <is>
          <t>PRÊMIO COTA GERAL</t>
        </is>
      </c>
      <c r="C87" s="30" t="inlineStr">
        <is>
          <t>Provento</t>
        </is>
      </c>
      <c r="D87" s="34">
        <f>'HOLERITE SET.26'!E15</f>
        <v/>
      </c>
      <c r="E87" s="39" t="n"/>
    </row>
    <row r="88">
      <c r="A88" s="30" t="inlineStr">
        <is>
          <t>RENALDO</t>
        </is>
      </c>
      <c r="B88" s="30" t="inlineStr">
        <is>
          <t>PRÊMIO PRÉ-VENCIDOS</t>
        </is>
      </c>
      <c r="C88" s="30" t="inlineStr">
        <is>
          <t>Provento</t>
        </is>
      </c>
      <c r="D88" s="34">
        <f>'HOLERITE SET.26'!E16</f>
        <v/>
      </c>
      <c r="E88" s="39" t="n"/>
    </row>
    <row r="89">
      <c r="A89" s="30" t="inlineStr">
        <is>
          <t>RENALDO</t>
        </is>
      </c>
      <c r="B89" s="30" t="inlineStr">
        <is>
          <t>FÉRIAS</t>
        </is>
      </c>
      <c r="C89" s="30" t="inlineStr">
        <is>
          <t>Provento</t>
        </is>
      </c>
      <c r="D89" s="34">
        <f>'HOLERITE SET.26'!E17</f>
        <v/>
      </c>
      <c r="E89" s="39" t="n"/>
    </row>
    <row r="90">
      <c r="A90" s="30" t="inlineStr">
        <is>
          <t>RENALDO</t>
        </is>
      </c>
      <c r="B90" s="30" t="inlineStr">
        <is>
          <t>1/3 CONSTITUCIONAL DE FÉRIAS</t>
        </is>
      </c>
      <c r="C90" s="30" t="inlineStr">
        <is>
          <t>Provento</t>
        </is>
      </c>
      <c r="D90" s="34">
        <f>'HOLERITE SET.26'!E18</f>
        <v/>
      </c>
      <c r="E90" s="39" t="n"/>
    </row>
    <row r="91">
      <c r="A91" s="30" t="inlineStr">
        <is>
          <t>RENALDO</t>
        </is>
      </c>
      <c r="B91" s="30" t="inlineStr">
        <is>
          <t>INCENTIVO APLICAÇÕES</t>
        </is>
      </c>
      <c r="C91" s="30" t="inlineStr">
        <is>
          <t>Provento</t>
        </is>
      </c>
      <c r="D91" s="34">
        <f>'HOLERITE SET.26'!E19</f>
        <v/>
      </c>
      <c r="E91" s="39" t="n"/>
    </row>
    <row r="92">
      <c r="A92" s="30" t="inlineStr">
        <is>
          <t>RENALDO</t>
        </is>
      </c>
      <c r="B92" s="30" t="inlineStr">
        <is>
          <t>INCENTIVO VITAMINAS</t>
        </is>
      </c>
      <c r="C92" s="30" t="inlineStr">
        <is>
          <t>Provento</t>
        </is>
      </c>
      <c r="D92" s="34">
        <f>'HOLERITE SET.26'!E20</f>
        <v/>
      </c>
      <c r="E92" s="39" t="n"/>
    </row>
    <row r="93">
      <c r="A93" s="30" t="inlineStr">
        <is>
          <t>RENALDO</t>
        </is>
      </c>
      <c r="B93" s="30" t="inlineStr">
        <is>
          <t>OUTROS INCENTIVOS</t>
        </is>
      </c>
      <c r="C93" s="30" t="inlineStr">
        <is>
          <t>Provento</t>
        </is>
      </c>
      <c r="D93" s="34">
        <f>'HOLERITE SET.26'!E21</f>
        <v/>
      </c>
      <c r="E93" s="39" t="n"/>
    </row>
    <row r="94">
      <c r="A94" s="40" t="inlineStr">
        <is>
          <t>RENALDO</t>
        </is>
      </c>
      <c r="B94" s="40" t="inlineStr">
        <is>
          <t>TOTAL DE PROVENTOS</t>
        </is>
      </c>
      <c r="C94" s="40" t="inlineStr">
        <is>
          <t>Subtotal</t>
        </is>
      </c>
      <c r="D94" s="41">
        <f>'HOLERITE SET.26'!E22</f>
        <v/>
      </c>
      <c r="E94" s="18" t="n"/>
    </row>
    <row r="95">
      <c r="A95" s="30" t="inlineStr">
        <is>
          <t>RENALDO</t>
        </is>
      </c>
      <c r="B95" s="30" t="inlineStr">
        <is>
          <t>ADIANTAMENTO SALARIAL / VALES</t>
        </is>
      </c>
      <c r="C95" s="30" t="inlineStr">
        <is>
          <t>Desconto</t>
        </is>
      </c>
      <c r="D95" s="34">
        <f>'HOLERITE SET.26'!E24</f>
        <v/>
      </c>
      <c r="E95" s="39" t="n"/>
    </row>
    <row r="96">
      <c r="A96" s="30" t="inlineStr">
        <is>
          <t>RENALDO</t>
        </is>
      </c>
      <c r="B96" s="30" t="inlineStr">
        <is>
          <t>ADIANT. VALES INCENT. E APLIC.</t>
        </is>
      </c>
      <c r="C96" s="30" t="inlineStr">
        <is>
          <t>Desconto</t>
        </is>
      </c>
      <c r="D96" s="34">
        <f>'HOLERITE SET.26'!E25</f>
        <v/>
      </c>
      <c r="E96" s="39" t="n"/>
    </row>
    <row r="97">
      <c r="A97" s="30" t="inlineStr">
        <is>
          <t>RENALDO</t>
        </is>
      </c>
      <c r="B97" s="30" t="inlineStr">
        <is>
          <t>CONVÊNIO</t>
        </is>
      </c>
      <c r="C97" s="30" t="inlineStr">
        <is>
          <t>Desconto</t>
        </is>
      </c>
      <c r="D97" s="34">
        <f>'HOLERITE SET.26'!E26</f>
        <v/>
      </c>
      <c r="E97" s="39" t="n"/>
    </row>
    <row r="98">
      <c r="A98" s="30" t="inlineStr">
        <is>
          <t>RENALDO</t>
        </is>
      </c>
      <c r="B98" s="30" t="inlineStr">
        <is>
          <t>DESCONTO FALTAS / ATRASOS</t>
        </is>
      </c>
      <c r="C98" s="30" t="inlineStr">
        <is>
          <t>Desconto</t>
        </is>
      </c>
      <c r="D98" s="34">
        <f>'HOLERITE SET.26'!E27</f>
        <v/>
      </c>
      <c r="E98" s="39" t="n"/>
    </row>
    <row r="99">
      <c r="A99" s="30" t="inlineStr">
        <is>
          <t>RENALDO</t>
        </is>
      </c>
      <c r="B99" s="30" t="inlineStr">
        <is>
          <t>DESCONTO VALE TRANSPORTE 6%</t>
        </is>
      </c>
      <c r="C99" s="30" t="inlineStr">
        <is>
          <t>Desconto</t>
        </is>
      </c>
      <c r="D99" s="34">
        <f>'HOLERITE SET.26'!E28</f>
        <v/>
      </c>
      <c r="E99" s="39" t="n"/>
    </row>
    <row r="100">
      <c r="A100" s="30" t="inlineStr">
        <is>
          <t>RENALDO</t>
        </is>
      </c>
      <c r="B100" s="30" t="inlineStr">
        <is>
          <t>DESCONTO INSS</t>
        </is>
      </c>
      <c r="C100" s="30" t="inlineStr">
        <is>
          <t>Desconto</t>
        </is>
      </c>
      <c r="D100" s="34">
        <f>'HOLERITE SET.26'!E29</f>
        <v/>
      </c>
      <c r="E100" s="39" t="n"/>
    </row>
    <row r="101">
      <c r="A101" s="30" t="inlineStr">
        <is>
          <t>RENALDO</t>
        </is>
      </c>
      <c r="B101" s="30" t="inlineStr">
        <is>
          <t>DESCONTO IRRF</t>
        </is>
      </c>
      <c r="C101" s="30" t="inlineStr">
        <is>
          <t>Desconto</t>
        </is>
      </c>
      <c r="D101" s="34">
        <f>'HOLERITE SET.26'!E30</f>
        <v/>
      </c>
      <c r="E101" s="39" t="n"/>
    </row>
    <row r="102">
      <c r="A102" s="40" t="inlineStr">
        <is>
          <t>RENALDO</t>
        </is>
      </c>
      <c r="B102" s="40" t="inlineStr">
        <is>
          <t>TOTAL DE DESCONTOS</t>
        </is>
      </c>
      <c r="C102" s="40" t="inlineStr">
        <is>
          <t>Subtotal</t>
        </is>
      </c>
      <c r="D102" s="41">
        <f>'HOLERITE SET.26'!E31</f>
        <v/>
      </c>
      <c r="E102" s="18" t="n"/>
    </row>
    <row r="103">
      <c r="A103" s="42" t="inlineStr">
        <is>
          <t>RENALDO</t>
        </is>
      </c>
      <c r="B103" s="43" t="inlineStr">
        <is>
          <t>LÍQUIDO A RECEBER</t>
        </is>
      </c>
      <c r="C103" s="43" t="inlineStr">
        <is>
          <t>Líquido</t>
        </is>
      </c>
      <c r="D103" s="44">
        <f>'HOLERITE SET.26'!E33</f>
        <v/>
      </c>
      <c r="E103" s="45" t="n"/>
    </row>
    <row r="105">
      <c r="A105" s="30" t="inlineStr">
        <is>
          <t>THAYANE</t>
        </is>
      </c>
      <c r="B105" s="30" t="inlineStr">
        <is>
          <t>SALÁRIO BASE</t>
        </is>
      </c>
      <c r="C105" s="30" t="inlineStr">
        <is>
          <t>Provento</t>
        </is>
      </c>
      <c r="D105" s="34">
        <f>'HOLERITE SET.26'!F6</f>
        <v/>
      </c>
      <c r="E105" s="39" t="n"/>
    </row>
    <row r="106">
      <c r="A106" s="30" t="inlineStr">
        <is>
          <t>THAYANE</t>
        </is>
      </c>
      <c r="B106" s="30" t="inlineStr">
        <is>
          <t>ADICIONAL NOTURNO</t>
        </is>
      </c>
      <c r="C106" s="30" t="inlineStr">
        <is>
          <t>Provento</t>
        </is>
      </c>
      <c r="D106" s="34">
        <f>'HOLERITE SET.26'!F7</f>
        <v/>
      </c>
      <c r="E106" s="39" t="n"/>
    </row>
    <row r="107">
      <c r="A107" s="30" t="inlineStr">
        <is>
          <t>THAYANE</t>
        </is>
      </c>
      <c r="B107" s="30" t="inlineStr">
        <is>
          <t>HORAS EXTRAS</t>
        </is>
      </c>
      <c r="C107" s="30" t="inlineStr">
        <is>
          <t>Provento</t>
        </is>
      </c>
      <c r="D107" s="34">
        <f>'HOLERITE SET.26'!F8</f>
        <v/>
      </c>
      <c r="E107" s="39" t="n"/>
    </row>
    <row r="108">
      <c r="A108" s="30" t="inlineStr">
        <is>
          <t>THAYANE</t>
        </is>
      </c>
      <c r="B108" s="30" t="inlineStr">
        <is>
          <t>COMISSÃO SOBRE VENDAS</t>
        </is>
      </c>
      <c r="C108" s="30" t="inlineStr">
        <is>
          <t>Provento</t>
        </is>
      </c>
      <c r="D108" s="34">
        <f>'HOLERITE SET.26'!F11</f>
        <v/>
      </c>
      <c r="E108" s="39" t="n"/>
    </row>
    <row r="109">
      <c r="A109" s="30" t="inlineStr">
        <is>
          <t>THAYANE</t>
        </is>
      </c>
      <c r="B109" s="30" t="inlineStr">
        <is>
          <t>REPOUSO REMUNERADO / DSR</t>
        </is>
      </c>
      <c r="C109" s="30" t="inlineStr">
        <is>
          <t>Provento</t>
        </is>
      </c>
      <c r="D109" s="34">
        <f>'HOLERITE SET.26'!F12</f>
        <v/>
      </c>
      <c r="E109" s="39" t="n"/>
    </row>
    <row r="110">
      <c r="A110" s="30" t="inlineStr">
        <is>
          <t>THAYANE</t>
        </is>
      </c>
      <c r="B110" s="30" t="inlineStr">
        <is>
          <t>AUXÍLIO GERÊNCIA</t>
        </is>
      </c>
      <c r="C110" s="30" t="inlineStr">
        <is>
          <t>Provento</t>
        </is>
      </c>
      <c r="D110" s="34">
        <f>'HOLERITE SET.26'!F13</f>
        <v/>
      </c>
      <c r="E110" s="39" t="n"/>
    </row>
    <row r="111">
      <c r="A111" s="30" t="inlineStr">
        <is>
          <t>THAYANE</t>
        </is>
      </c>
      <c r="B111" s="30" t="inlineStr">
        <is>
          <t>ADICIONAL PRÊMIO META CAIXA</t>
        </is>
      </c>
      <c r="C111" s="30" t="inlineStr">
        <is>
          <t>Provento</t>
        </is>
      </c>
      <c r="D111" s="34">
        <f>'HOLERITE SET.26'!F14</f>
        <v/>
      </c>
      <c r="E111" s="39" t="n"/>
    </row>
    <row r="112">
      <c r="A112" s="30" t="inlineStr">
        <is>
          <t>THAYANE</t>
        </is>
      </c>
      <c r="B112" s="30" t="inlineStr">
        <is>
          <t>PRÊMIO COTA GERAL</t>
        </is>
      </c>
      <c r="C112" s="30" t="inlineStr">
        <is>
          <t>Provento</t>
        </is>
      </c>
      <c r="D112" s="34">
        <f>'HOLERITE SET.26'!F15</f>
        <v/>
      </c>
      <c r="E112" s="39" t="n"/>
    </row>
    <row r="113">
      <c r="A113" s="30" t="inlineStr">
        <is>
          <t>THAYANE</t>
        </is>
      </c>
      <c r="B113" s="30" t="inlineStr">
        <is>
          <t>PRÊMIO PRÉ-VENCIDOS</t>
        </is>
      </c>
      <c r="C113" s="30" t="inlineStr">
        <is>
          <t>Provento</t>
        </is>
      </c>
      <c r="D113" s="34">
        <f>'HOLERITE SET.26'!F16</f>
        <v/>
      </c>
      <c r="E113" s="39" t="n"/>
    </row>
    <row r="114">
      <c r="A114" s="30" t="inlineStr">
        <is>
          <t>THAYANE</t>
        </is>
      </c>
      <c r="B114" s="30" t="inlineStr">
        <is>
          <t>FÉRIAS</t>
        </is>
      </c>
      <c r="C114" s="30" t="inlineStr">
        <is>
          <t>Provento</t>
        </is>
      </c>
      <c r="D114" s="34">
        <f>'HOLERITE SET.26'!F17</f>
        <v/>
      </c>
      <c r="E114" s="39" t="n"/>
    </row>
    <row r="115">
      <c r="A115" s="30" t="inlineStr">
        <is>
          <t>THAYANE</t>
        </is>
      </c>
      <c r="B115" s="30" t="inlineStr">
        <is>
          <t>1/3 CONSTITUCIONAL DE FÉRIAS</t>
        </is>
      </c>
      <c r="C115" s="30" t="inlineStr">
        <is>
          <t>Provento</t>
        </is>
      </c>
      <c r="D115" s="34">
        <f>'HOLERITE SET.26'!F18</f>
        <v/>
      </c>
      <c r="E115" s="39" t="n"/>
    </row>
    <row r="116">
      <c r="A116" s="30" t="inlineStr">
        <is>
          <t>THAYANE</t>
        </is>
      </c>
      <c r="B116" s="30" t="inlineStr">
        <is>
          <t>INCENTIVO APLICAÇÕES</t>
        </is>
      </c>
      <c r="C116" s="30" t="inlineStr">
        <is>
          <t>Provento</t>
        </is>
      </c>
      <c r="D116" s="34">
        <f>'HOLERITE SET.26'!F19</f>
        <v/>
      </c>
      <c r="E116" s="39" t="n"/>
    </row>
    <row r="117">
      <c r="A117" s="30" t="inlineStr">
        <is>
          <t>THAYANE</t>
        </is>
      </c>
      <c r="B117" s="30" t="inlineStr">
        <is>
          <t>INCENTIVO VITAMINAS</t>
        </is>
      </c>
      <c r="C117" s="30" t="inlineStr">
        <is>
          <t>Provento</t>
        </is>
      </c>
      <c r="D117" s="34">
        <f>'HOLERITE SET.26'!F20</f>
        <v/>
      </c>
      <c r="E117" s="39" t="n"/>
    </row>
    <row r="118">
      <c r="A118" s="30" t="inlineStr">
        <is>
          <t>THAYANE</t>
        </is>
      </c>
      <c r="B118" s="30" t="inlineStr">
        <is>
          <t>OUTROS INCENTIVOS</t>
        </is>
      </c>
      <c r="C118" s="30" t="inlineStr">
        <is>
          <t>Provento</t>
        </is>
      </c>
      <c r="D118" s="34">
        <f>'HOLERITE SET.26'!F21</f>
        <v/>
      </c>
      <c r="E118" s="39" t="n"/>
    </row>
    <row r="119">
      <c r="A119" s="40" t="inlineStr">
        <is>
          <t>THAYANE</t>
        </is>
      </c>
      <c r="B119" s="40" t="inlineStr">
        <is>
          <t>TOTAL DE PROVENTOS</t>
        </is>
      </c>
      <c r="C119" s="40" t="inlineStr">
        <is>
          <t>Subtotal</t>
        </is>
      </c>
      <c r="D119" s="41">
        <f>'HOLERITE SET.26'!F22</f>
        <v/>
      </c>
      <c r="E119" s="18" t="n"/>
    </row>
    <row r="120">
      <c r="A120" s="30" t="inlineStr">
        <is>
          <t>THAYANE</t>
        </is>
      </c>
      <c r="B120" s="30" t="inlineStr">
        <is>
          <t>ADIANTAMENTO SALARIAL / VALES</t>
        </is>
      </c>
      <c r="C120" s="30" t="inlineStr">
        <is>
          <t>Desconto</t>
        </is>
      </c>
      <c r="D120" s="34">
        <f>'HOLERITE SET.26'!F24</f>
        <v/>
      </c>
      <c r="E120" s="39" t="n"/>
    </row>
    <row r="121">
      <c r="A121" s="30" t="inlineStr">
        <is>
          <t>THAYANE</t>
        </is>
      </c>
      <c r="B121" s="30" t="inlineStr">
        <is>
          <t>ADIANT. VALES INCENT. E APLIC.</t>
        </is>
      </c>
      <c r="C121" s="30" t="inlineStr">
        <is>
          <t>Desconto</t>
        </is>
      </c>
      <c r="D121" s="34">
        <f>'HOLERITE SET.26'!F25</f>
        <v/>
      </c>
      <c r="E121" s="39" t="n"/>
    </row>
    <row r="122">
      <c r="A122" s="30" t="inlineStr">
        <is>
          <t>THAYANE</t>
        </is>
      </c>
      <c r="B122" s="30" t="inlineStr">
        <is>
          <t>CONVÊNIO</t>
        </is>
      </c>
      <c r="C122" s="30" t="inlineStr">
        <is>
          <t>Desconto</t>
        </is>
      </c>
      <c r="D122" s="34">
        <f>'HOLERITE SET.26'!F26</f>
        <v/>
      </c>
      <c r="E122" s="39" t="n"/>
    </row>
    <row r="123">
      <c r="A123" s="30" t="inlineStr">
        <is>
          <t>THAYANE</t>
        </is>
      </c>
      <c r="B123" s="30" t="inlineStr">
        <is>
          <t>DESCONTO FALTAS / ATRASOS</t>
        </is>
      </c>
      <c r="C123" s="30" t="inlineStr">
        <is>
          <t>Desconto</t>
        </is>
      </c>
      <c r="D123" s="34">
        <f>'HOLERITE SET.26'!F27</f>
        <v/>
      </c>
      <c r="E123" s="39" t="n"/>
    </row>
    <row r="124">
      <c r="A124" s="30" t="inlineStr">
        <is>
          <t>THAYANE</t>
        </is>
      </c>
      <c r="B124" s="30" t="inlineStr">
        <is>
          <t>DESCONTO VALE TRANSPORTE 6%</t>
        </is>
      </c>
      <c r="C124" s="30" t="inlineStr">
        <is>
          <t>Desconto</t>
        </is>
      </c>
      <c r="D124" s="34">
        <f>'HOLERITE SET.26'!F28</f>
        <v/>
      </c>
      <c r="E124" s="39" t="n"/>
    </row>
    <row r="125">
      <c r="A125" s="30" t="inlineStr">
        <is>
          <t>THAYANE</t>
        </is>
      </c>
      <c r="B125" s="30" t="inlineStr">
        <is>
          <t>DESCONTO INSS</t>
        </is>
      </c>
      <c r="C125" s="30" t="inlineStr">
        <is>
          <t>Desconto</t>
        </is>
      </c>
      <c r="D125" s="34">
        <f>'HOLERITE SET.26'!F29</f>
        <v/>
      </c>
      <c r="E125" s="39" t="n"/>
    </row>
    <row r="126">
      <c r="A126" s="30" t="inlineStr">
        <is>
          <t>THAYANE</t>
        </is>
      </c>
      <c r="B126" s="30" t="inlineStr">
        <is>
          <t>DESCONTO IRRF</t>
        </is>
      </c>
      <c r="C126" s="30" t="inlineStr">
        <is>
          <t>Desconto</t>
        </is>
      </c>
      <c r="D126" s="34">
        <f>'HOLERITE SET.26'!F30</f>
        <v/>
      </c>
      <c r="E126" s="39" t="n"/>
    </row>
    <row r="127">
      <c r="A127" s="40" t="inlineStr">
        <is>
          <t>THAYANE</t>
        </is>
      </c>
      <c r="B127" s="40" t="inlineStr">
        <is>
          <t>TOTAL DE DESCONTOS</t>
        </is>
      </c>
      <c r="C127" s="40" t="inlineStr">
        <is>
          <t>Subtotal</t>
        </is>
      </c>
      <c r="D127" s="41">
        <f>'HOLERITE SET.26'!F31</f>
        <v/>
      </c>
      <c r="E127" s="18" t="n"/>
    </row>
    <row r="128">
      <c r="A128" s="42" t="inlineStr">
        <is>
          <t>THAYANE</t>
        </is>
      </c>
      <c r="B128" s="43" t="inlineStr">
        <is>
          <t>LÍQUIDO A RECEBER</t>
        </is>
      </c>
      <c r="C128" s="43" t="inlineStr">
        <is>
          <t>Líquido</t>
        </is>
      </c>
      <c r="D128" s="44">
        <f>'HOLERITE SET.26'!F33</f>
        <v/>
      </c>
      <c r="E128" s="45" t="n"/>
    </row>
    <row r="130">
      <c r="A130" s="30" t="inlineStr">
        <is>
          <t>PEDRO</t>
        </is>
      </c>
      <c r="B130" s="30" t="inlineStr">
        <is>
          <t>SALÁRIO BASE</t>
        </is>
      </c>
      <c r="C130" s="30" t="inlineStr">
        <is>
          <t>Provento</t>
        </is>
      </c>
      <c r="D130" s="34">
        <f>'HOLERITE SET.26'!G6</f>
        <v/>
      </c>
      <c r="E130" s="39" t="n"/>
    </row>
    <row r="131">
      <c r="A131" s="30" t="inlineStr">
        <is>
          <t>PEDRO</t>
        </is>
      </c>
      <c r="B131" s="30" t="inlineStr">
        <is>
          <t>ADICIONAL NOTURNO</t>
        </is>
      </c>
      <c r="C131" s="30" t="inlineStr">
        <is>
          <t>Provento</t>
        </is>
      </c>
      <c r="D131" s="34">
        <f>'HOLERITE SET.26'!G7</f>
        <v/>
      </c>
      <c r="E131" s="39" t="n"/>
    </row>
    <row r="132">
      <c r="A132" s="30" t="inlineStr">
        <is>
          <t>PEDRO</t>
        </is>
      </c>
      <c r="B132" s="30" t="inlineStr">
        <is>
          <t>HORAS EXTRAS</t>
        </is>
      </c>
      <c r="C132" s="30" t="inlineStr">
        <is>
          <t>Provento</t>
        </is>
      </c>
      <c r="D132" s="34">
        <f>'HOLERITE SET.26'!G8</f>
        <v/>
      </c>
      <c r="E132" s="39" t="n"/>
    </row>
    <row r="133">
      <c r="A133" s="30" t="inlineStr">
        <is>
          <t>PEDRO</t>
        </is>
      </c>
      <c r="B133" s="30" t="inlineStr">
        <is>
          <t>COMISSÃO SOBRE VENDAS</t>
        </is>
      </c>
      <c r="C133" s="30" t="inlineStr">
        <is>
          <t>Provento</t>
        </is>
      </c>
      <c r="D133" s="34">
        <f>'HOLERITE SET.26'!G11</f>
        <v/>
      </c>
      <c r="E133" s="39" t="n"/>
    </row>
    <row r="134">
      <c r="A134" s="30" t="inlineStr">
        <is>
          <t>PEDRO</t>
        </is>
      </c>
      <c r="B134" s="30" t="inlineStr">
        <is>
          <t>REPOUSO REMUNERADO / DSR</t>
        </is>
      </c>
      <c r="C134" s="30" t="inlineStr">
        <is>
          <t>Provento</t>
        </is>
      </c>
      <c r="D134" s="34">
        <f>'HOLERITE SET.26'!G12</f>
        <v/>
      </c>
      <c r="E134" s="39" t="n"/>
    </row>
    <row r="135">
      <c r="A135" s="30" t="inlineStr">
        <is>
          <t>PEDRO</t>
        </is>
      </c>
      <c r="B135" s="30" t="inlineStr">
        <is>
          <t>AUXÍLIO GERÊNCIA</t>
        </is>
      </c>
      <c r="C135" s="30" t="inlineStr">
        <is>
          <t>Provento</t>
        </is>
      </c>
      <c r="D135" s="34">
        <f>'HOLERITE SET.26'!G13</f>
        <v/>
      </c>
      <c r="E135" s="39" t="n"/>
    </row>
    <row r="136">
      <c r="A136" s="30" t="inlineStr">
        <is>
          <t>PEDRO</t>
        </is>
      </c>
      <c r="B136" s="30" t="inlineStr">
        <is>
          <t>ADICIONAL PRÊMIO META CAIXA</t>
        </is>
      </c>
      <c r="C136" s="30" t="inlineStr">
        <is>
          <t>Provento</t>
        </is>
      </c>
      <c r="D136" s="34">
        <f>'HOLERITE SET.26'!G14</f>
        <v/>
      </c>
      <c r="E136" s="39" t="n"/>
    </row>
    <row r="137">
      <c r="A137" s="30" t="inlineStr">
        <is>
          <t>PEDRO</t>
        </is>
      </c>
      <c r="B137" s="30" t="inlineStr">
        <is>
          <t>PRÊMIO COTA GERAL</t>
        </is>
      </c>
      <c r="C137" s="30" t="inlineStr">
        <is>
          <t>Provento</t>
        </is>
      </c>
      <c r="D137" s="34">
        <f>'HOLERITE SET.26'!G15</f>
        <v/>
      </c>
      <c r="E137" s="39" t="n"/>
    </row>
    <row r="138">
      <c r="A138" s="30" t="inlineStr">
        <is>
          <t>PEDRO</t>
        </is>
      </c>
      <c r="B138" s="30" t="inlineStr">
        <is>
          <t>PRÊMIO PRÉ-VENCIDOS</t>
        </is>
      </c>
      <c r="C138" s="30" t="inlineStr">
        <is>
          <t>Provento</t>
        </is>
      </c>
      <c r="D138" s="34">
        <f>'HOLERITE SET.26'!G16</f>
        <v/>
      </c>
      <c r="E138" s="39" t="n"/>
    </row>
    <row r="139">
      <c r="A139" s="30" t="inlineStr">
        <is>
          <t>PEDRO</t>
        </is>
      </c>
      <c r="B139" s="30" t="inlineStr">
        <is>
          <t>FÉRIAS</t>
        </is>
      </c>
      <c r="C139" s="30" t="inlineStr">
        <is>
          <t>Provento</t>
        </is>
      </c>
      <c r="D139" s="34">
        <f>'HOLERITE SET.26'!G17</f>
        <v/>
      </c>
      <c r="E139" s="39" t="n"/>
    </row>
    <row r="140">
      <c r="A140" s="30" t="inlineStr">
        <is>
          <t>PEDRO</t>
        </is>
      </c>
      <c r="B140" s="30" t="inlineStr">
        <is>
          <t>1/3 CONSTITUCIONAL DE FÉRIAS</t>
        </is>
      </c>
      <c r="C140" s="30" t="inlineStr">
        <is>
          <t>Provento</t>
        </is>
      </c>
      <c r="D140" s="34">
        <f>'HOLERITE SET.26'!G18</f>
        <v/>
      </c>
      <c r="E140" s="39" t="n"/>
    </row>
    <row r="141">
      <c r="A141" s="30" t="inlineStr">
        <is>
          <t>PEDRO</t>
        </is>
      </c>
      <c r="B141" s="30" t="inlineStr">
        <is>
          <t>INCENTIVO APLICAÇÕES</t>
        </is>
      </c>
      <c r="C141" s="30" t="inlineStr">
        <is>
          <t>Provento</t>
        </is>
      </c>
      <c r="D141" s="34">
        <f>'HOLERITE SET.26'!G19</f>
        <v/>
      </c>
      <c r="E141" s="39" t="n"/>
    </row>
    <row r="142">
      <c r="A142" s="30" t="inlineStr">
        <is>
          <t>PEDRO</t>
        </is>
      </c>
      <c r="B142" s="30" t="inlineStr">
        <is>
          <t>INCENTIVO VITAMINAS</t>
        </is>
      </c>
      <c r="C142" s="30" t="inlineStr">
        <is>
          <t>Provento</t>
        </is>
      </c>
      <c r="D142" s="34">
        <f>'HOLERITE SET.26'!G20</f>
        <v/>
      </c>
      <c r="E142" s="39" t="n"/>
    </row>
    <row r="143">
      <c r="A143" s="30" t="inlineStr">
        <is>
          <t>PEDRO</t>
        </is>
      </c>
      <c r="B143" s="30" t="inlineStr">
        <is>
          <t>OUTROS INCENTIVOS</t>
        </is>
      </c>
      <c r="C143" s="30" t="inlineStr">
        <is>
          <t>Provento</t>
        </is>
      </c>
      <c r="D143" s="34">
        <f>'HOLERITE SET.26'!G21</f>
        <v/>
      </c>
      <c r="E143" s="39" t="n"/>
    </row>
    <row r="144">
      <c r="A144" s="40" t="inlineStr">
        <is>
          <t>PEDRO</t>
        </is>
      </c>
      <c r="B144" s="40" t="inlineStr">
        <is>
          <t>TOTAL DE PROVENTOS</t>
        </is>
      </c>
      <c r="C144" s="40" t="inlineStr">
        <is>
          <t>Subtotal</t>
        </is>
      </c>
      <c r="D144" s="41">
        <f>'HOLERITE SET.26'!G22</f>
        <v/>
      </c>
      <c r="E144" s="18" t="n"/>
    </row>
    <row r="145">
      <c r="A145" s="30" t="inlineStr">
        <is>
          <t>PEDRO</t>
        </is>
      </c>
      <c r="B145" s="30" t="inlineStr">
        <is>
          <t>ADIANTAMENTO SALARIAL / VALES</t>
        </is>
      </c>
      <c r="C145" s="30" t="inlineStr">
        <is>
          <t>Desconto</t>
        </is>
      </c>
      <c r="D145" s="34">
        <f>'HOLERITE SET.26'!G24</f>
        <v/>
      </c>
      <c r="E145" s="39" t="n"/>
    </row>
    <row r="146">
      <c r="A146" s="30" t="inlineStr">
        <is>
          <t>PEDRO</t>
        </is>
      </c>
      <c r="B146" s="30" t="inlineStr">
        <is>
          <t>ADIANT. VALES INCENT. E APLIC.</t>
        </is>
      </c>
      <c r="C146" s="30" t="inlineStr">
        <is>
          <t>Desconto</t>
        </is>
      </c>
      <c r="D146" s="34">
        <f>'HOLERITE SET.26'!G25</f>
        <v/>
      </c>
      <c r="E146" s="39" t="n"/>
    </row>
    <row r="147">
      <c r="A147" s="30" t="inlineStr">
        <is>
          <t>PEDRO</t>
        </is>
      </c>
      <c r="B147" s="30" t="inlineStr">
        <is>
          <t>CONVÊNIO</t>
        </is>
      </c>
      <c r="C147" s="30" t="inlineStr">
        <is>
          <t>Desconto</t>
        </is>
      </c>
      <c r="D147" s="34">
        <f>'HOLERITE SET.26'!G26</f>
        <v/>
      </c>
      <c r="E147" s="39" t="n"/>
    </row>
    <row r="148">
      <c r="A148" s="30" t="inlineStr">
        <is>
          <t>PEDRO</t>
        </is>
      </c>
      <c r="B148" s="30" t="inlineStr">
        <is>
          <t>DESCONTO FALTAS / ATRASOS</t>
        </is>
      </c>
      <c r="C148" s="30" t="inlineStr">
        <is>
          <t>Desconto</t>
        </is>
      </c>
      <c r="D148" s="34">
        <f>'HOLERITE SET.26'!G27</f>
        <v/>
      </c>
      <c r="E148" s="39" t="n"/>
    </row>
    <row r="149">
      <c r="A149" s="30" t="inlineStr">
        <is>
          <t>PEDRO</t>
        </is>
      </c>
      <c r="B149" s="30" t="inlineStr">
        <is>
          <t>DESCONTO VALE TRANSPORTE 6%</t>
        </is>
      </c>
      <c r="C149" s="30" t="inlineStr">
        <is>
          <t>Desconto</t>
        </is>
      </c>
      <c r="D149" s="34">
        <f>'HOLERITE SET.26'!G28</f>
        <v/>
      </c>
      <c r="E149" s="39" t="n"/>
    </row>
    <row r="150">
      <c r="A150" s="30" t="inlineStr">
        <is>
          <t>PEDRO</t>
        </is>
      </c>
      <c r="B150" s="30" t="inlineStr">
        <is>
          <t>DESCONTO INSS</t>
        </is>
      </c>
      <c r="C150" s="30" t="inlineStr">
        <is>
          <t>Desconto</t>
        </is>
      </c>
      <c r="D150" s="34">
        <f>'HOLERITE SET.26'!G29</f>
        <v/>
      </c>
      <c r="E150" s="39" t="n"/>
    </row>
    <row r="151">
      <c r="A151" s="30" t="inlineStr">
        <is>
          <t>PEDRO</t>
        </is>
      </c>
      <c r="B151" s="30" t="inlineStr">
        <is>
          <t>DESCONTO IRRF</t>
        </is>
      </c>
      <c r="C151" s="30" t="inlineStr">
        <is>
          <t>Desconto</t>
        </is>
      </c>
      <c r="D151" s="34">
        <f>'HOLERITE SET.26'!G30</f>
        <v/>
      </c>
      <c r="E151" s="39" t="n"/>
    </row>
    <row r="152">
      <c r="A152" s="40" t="inlineStr">
        <is>
          <t>PEDRO</t>
        </is>
      </c>
      <c r="B152" s="40" t="inlineStr">
        <is>
          <t>TOTAL DE DESCONTOS</t>
        </is>
      </c>
      <c r="C152" s="40" t="inlineStr">
        <is>
          <t>Subtotal</t>
        </is>
      </c>
      <c r="D152" s="41">
        <f>'HOLERITE SET.26'!G31</f>
        <v/>
      </c>
      <c r="E152" s="18" t="n"/>
    </row>
    <row r="153">
      <c r="A153" s="42" t="inlineStr">
        <is>
          <t>PEDRO</t>
        </is>
      </c>
      <c r="B153" s="43" t="inlineStr">
        <is>
          <t>LÍQUIDO A RECEBER</t>
        </is>
      </c>
      <c r="C153" s="43" t="inlineStr">
        <is>
          <t>Líquido</t>
        </is>
      </c>
      <c r="D153" s="44">
        <f>'HOLERITE SET.26'!G33</f>
        <v/>
      </c>
      <c r="E153" s="45" t="n"/>
    </row>
  </sheetData>
  <autoFilter ref="A4:E153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SETEMBRO/2026 · pagamento em 05/09/2026</t>
        </is>
      </c>
    </row>
    <row r="4">
      <c r="B4" s="46" t="inlineStr">
        <is>
          <t>Escolha o colaborador:</t>
        </is>
      </c>
      <c r="C4" s="47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SET.26'!$B$6:$G$6,1,MATCH($C$4,'HOLERITE SET.26'!$B$4:$G$4,0)),0)</f>
        <v/>
      </c>
    </row>
    <row r="8">
      <c r="B8" s="30" t="inlineStr">
        <is>
          <t>Adicional noturno</t>
        </is>
      </c>
      <c r="C8" s="34">
        <f>IFERROR(INDEX('HOLERITE SET.26'!$B$7:$G$7,1,MATCH($C$4,'HOLERITE SET.26'!$B$4:$G$4,0)),0)</f>
        <v/>
      </c>
    </row>
    <row r="9">
      <c r="B9" s="30" t="inlineStr">
        <is>
          <t>Horas extras</t>
        </is>
      </c>
      <c r="C9" s="34">
        <f>IFERROR(INDEX('HOLERITE SET.26'!$B$8:$G$8,1,MATCH($C$4,'HOLERITE SET.26'!$B$4:$G$4,0)),0)</f>
        <v/>
      </c>
    </row>
    <row r="10">
      <c r="B10" s="30" t="inlineStr">
        <is>
          <t>Comissão sobre vendas</t>
        </is>
      </c>
      <c r="C10" s="34">
        <f>IFERROR(INDEX('HOLERITE SET.26'!$B$11:$G$11,1,MATCH($C$4,'HOLERITE SET.26'!$B$4:$G$4,0)),0)</f>
        <v/>
      </c>
    </row>
    <row r="11">
      <c r="B11" s="30" t="inlineStr">
        <is>
          <t>Repouso remunerado / DSR</t>
        </is>
      </c>
      <c r="C11" s="34">
        <f>IFERROR(INDEX('HOLERITE SET.26'!$B$12:$G$12,1,MATCH($C$4,'HOLERITE SET.26'!$B$4:$G$4,0)),0)</f>
        <v/>
      </c>
    </row>
    <row r="12">
      <c r="B12" s="30" t="inlineStr">
        <is>
          <t>Auxílio gerência</t>
        </is>
      </c>
      <c r="C12" s="34">
        <f>IFERROR(INDEX('HOLERITE SET.26'!$B$13:$G$13,1,MATCH($C$4,'HOLERITE SET.26'!$B$4:$G$4,0)),0)</f>
        <v/>
      </c>
    </row>
    <row r="13">
      <c r="B13" s="30" t="inlineStr">
        <is>
          <t>Adicional prêmio meta caixa</t>
        </is>
      </c>
      <c r="C13" s="34">
        <f>IFERROR(INDEX('HOLERITE SET.26'!$B$14:$G$14,1,MATCH($C$4,'HOLERITE SET.26'!$B$4:$G$4,0)),0)</f>
        <v/>
      </c>
    </row>
    <row r="14">
      <c r="B14" s="30" t="inlineStr">
        <is>
          <t>Prêmio cota geral</t>
        </is>
      </c>
      <c r="C14" s="34">
        <f>IFERROR(INDEX('HOLERITE SET.26'!$B$15:$G$15,1,MATCH($C$4,'HOLERITE SET.26'!$B$4:$G$4,0)),0)</f>
        <v/>
      </c>
    </row>
    <row r="15">
      <c r="B15" s="30" t="inlineStr">
        <is>
          <t>Prêmio pré-vencidos</t>
        </is>
      </c>
      <c r="C15" s="34">
        <f>IFERROR(INDEX('HOLERITE SET.26'!$B$16:$G$16,1,MATCH($C$4,'HOLERITE SET.26'!$B$4:$G$4,0)),0)</f>
        <v/>
      </c>
    </row>
    <row r="16">
      <c r="B16" s="30" t="inlineStr">
        <is>
          <t>Férias</t>
        </is>
      </c>
      <c r="C16" s="34">
        <f>IFERROR(INDEX('HOLERITE SET.26'!$B$17:$G$17,1,MATCH($C$4,'HOLERITE SET.26'!$B$4:$G$4,0)),0)</f>
        <v/>
      </c>
    </row>
    <row r="17">
      <c r="B17" s="30" t="inlineStr">
        <is>
          <t>1/3 constitucional de férias</t>
        </is>
      </c>
      <c r="C17" s="34">
        <f>IFERROR(INDEX('HOLERITE SET.26'!$B$18:$G$18,1,MATCH($C$4,'HOLERITE SET.26'!$B$4:$G$4,0)),0)</f>
        <v/>
      </c>
    </row>
    <row r="18">
      <c r="B18" s="30" t="inlineStr">
        <is>
          <t>Incentivo aplicações</t>
        </is>
      </c>
      <c r="C18" s="34">
        <f>IFERROR(INDEX('HOLERITE SET.26'!$B$19:$G$19,1,MATCH($C$4,'HOLERITE SET.26'!$B$4:$G$4,0)),0)</f>
        <v/>
      </c>
    </row>
    <row r="19">
      <c r="B19" s="30" t="inlineStr">
        <is>
          <t>Incentivo vitaminas</t>
        </is>
      </c>
      <c r="C19" s="34">
        <f>IFERROR(INDEX('HOLERITE SET.26'!$B$20:$G$20,1,MATCH($C$4,'HOLERITE SET.26'!$B$4:$G$4,0)),0)</f>
        <v/>
      </c>
    </row>
    <row r="20">
      <c r="B20" s="30" t="inlineStr">
        <is>
          <t>Outros incentivos</t>
        </is>
      </c>
      <c r="C20" s="34">
        <f>IFERROR(INDEX('HOLERITE SET.26'!$B$21:$G$21,1,MATCH($C$4,'HOLERITE SET.26'!$B$4:$G$4,0)),0)</f>
        <v/>
      </c>
    </row>
    <row r="21">
      <c r="B21" s="19" t="inlineStr">
        <is>
          <t>TOTAL DE PROVENTOS</t>
        </is>
      </c>
      <c r="C21" s="41">
        <f>IFERROR(INDEX('HOLERITE SET.26'!$B$22:$G$22,1,MATCH($C$4,'HOLERITE SET.26'!$B$4:$G$4,0)),0)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salarial / vales</t>
        </is>
      </c>
      <c r="C23" s="34">
        <f>IFERROR(INDEX('HOLERITE SET.26'!$B$24:$G$24,1,MATCH($C$4,'HOLERITE SET.26'!$B$4:$G$4,0)),0)</f>
        <v/>
      </c>
    </row>
    <row r="24">
      <c r="B24" s="30" t="inlineStr">
        <is>
          <t>Adiantamento de incentivos e aplicações</t>
        </is>
      </c>
      <c r="C24" s="34">
        <f>IFERROR(INDEX('HOLERITE SET.26'!$B$25:$G$25,1,MATCH($C$4,'HOLERITE SET.26'!$B$4:$G$4,0)),0)</f>
        <v/>
      </c>
    </row>
    <row r="25">
      <c r="B25" s="30" t="inlineStr">
        <is>
          <t>Convênio</t>
        </is>
      </c>
      <c r="C25" s="34">
        <f>IFERROR(INDEX('HOLERITE SET.26'!$B$26:$G$26,1,MATCH($C$4,'HOLERITE SET.26'!$B$4:$G$4,0)),0)</f>
        <v/>
      </c>
    </row>
    <row r="26">
      <c r="B26" s="30" t="inlineStr">
        <is>
          <t>Faltas / atrasos</t>
        </is>
      </c>
      <c r="C26" s="34">
        <f>IFERROR(INDEX('HOLERITE SET.26'!$B$27:$G$27,1,MATCH($C$4,'HOLERITE SET.26'!$B$4:$G$4,0)),0)</f>
        <v/>
      </c>
    </row>
    <row r="27">
      <c r="B27" s="30" t="inlineStr">
        <is>
          <t>Vale transporte 6%</t>
        </is>
      </c>
      <c r="C27" s="34">
        <f>IFERROR(INDEX('HOLERITE SET.26'!$B$28:$G$28,1,MATCH($C$4,'HOLERITE SET.26'!$B$4:$G$4,0)),0)</f>
        <v/>
      </c>
    </row>
    <row r="28">
      <c r="B28" s="30" t="inlineStr">
        <is>
          <t>INSS</t>
        </is>
      </c>
      <c r="C28" s="34">
        <f>IFERROR(INDEX('HOLERITE SET.26'!$B$29:$G$29,1,MATCH($C$4,'HOLERITE SET.26'!$B$4:$G$4,0)),0)</f>
        <v/>
      </c>
    </row>
    <row r="29">
      <c r="B29" s="30" t="inlineStr">
        <is>
          <t>IRRF</t>
        </is>
      </c>
      <c r="C29" s="34">
        <f>IFERROR(INDEX('HOLERITE SET.26'!$B$30:$G$30,1,MATCH($C$4,'HOLERITE SET.26'!$B$4:$G$4,0)),0)</f>
        <v/>
      </c>
    </row>
    <row r="30">
      <c r="B30" s="19" t="inlineStr">
        <is>
          <t>TOTAL DE DESCONTOS</t>
        </is>
      </c>
      <c r="C30" s="41">
        <f>IFERROR(INDEX('HOLERITE SET.26'!$B$31:$G$31,1,MATCH($C$4,'HOLERITE SET.26'!$B$4:$G$4,0)),0)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48" t="inlineStr">
        <is>
          <t>LÍQUIDO A RECEBER EM 05/10/2026</t>
        </is>
      </c>
      <c r="C32" s="49">
        <f>IFERROR(INDEX('HOLERITE SET.26'!$B$33:$G$33,1,MATCH($C$4,'HOLERITE SET.26'!$B$4:$G$4,0)),0)</f>
        <v/>
      </c>
    </row>
    <row r="34">
      <c r="B34" s="50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SET.26'!$C$5:$C$10,MATCH($C$4,'BASE INOVAFARMA SET.26'!$B$5:$B$10,0)),0)</f>
        <v/>
      </c>
    </row>
    <row r="36">
      <c r="B36" s="30" t="inlineStr">
        <is>
          <t>Descontos concedidos</t>
        </is>
      </c>
      <c r="C36" s="34">
        <f>IFERROR(INDEX('BASE INOVAFARMA SET.26'!$D$5:$D$10,MATCH($C$4,'BASE INOVAFARMA SET.26'!$B$5:$B$10,0)),0)</f>
        <v/>
      </c>
    </row>
    <row r="37">
      <c r="B37" s="30" t="inlineStr">
        <is>
          <t>Venda líquida</t>
        </is>
      </c>
      <c r="C37" s="34">
        <f>IFERROR(INDEX('BASE INOVAFARMA SET.26'!$E$5:$E$10,MATCH($C$4,'BASE INOVAFARMA SET.26'!$B$5:$B$10,0)),0)</f>
        <v/>
      </c>
    </row>
    <row r="38">
      <c r="B38" s="30" t="inlineStr">
        <is>
          <t>Comissão apurada</t>
        </is>
      </c>
      <c r="C38" s="34">
        <f>IFERROR(INDEX('BASE INOVAFARMA SET.26'!$F$5:$F$10,MATCH($C$4,'BASE INOVAFARMA SET.26'!$B$5:$B$10,0)),0)</f>
        <v/>
      </c>
    </row>
    <row r="39">
      <c r="B39" s="30" t="inlineStr">
        <is>
          <t>Total de incentivos</t>
        </is>
      </c>
      <c r="C39" s="34">
        <f>IFERROR(INDEX('BASE INOVAFARMA SET.26'!$J$5:$J$10,MATCH($C$4,'BASE INOVAFARMA SET.26'!$B$5:$B$10,0)),0)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SET.26.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CENTRO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GENECIR</t>
        </is>
      </c>
      <c r="B5" s="30" t="inlineStr">
        <is>
          <t>Registro informativo</t>
        </is>
      </c>
      <c r="C5" s="8" t="n">
        <v>0</v>
      </c>
      <c r="D5" s="14" t="inlineStr">
        <is>
          <t>dias</t>
        </is>
      </c>
      <c r="E5" s="34">
        <f>IFERROR(INDEX('HOLERITE SET.26'!$B$6:$G$6,1,MATCH(A5,'HOLERITE SET.26'!$B$4:$G$4,0)),0)</f>
        <v/>
      </c>
      <c r="F5" s="36" t="n">
        <v>0</v>
      </c>
      <c r="G5" s="20">
        <f>ROUND(C5*F5,2)</f>
        <v/>
      </c>
      <c r="H5" s="51" t="inlineStr">
        <is>
          <t>—</t>
        </is>
      </c>
      <c r="I5" s="33" t="inlineStr">
        <is>
          <t>Voltou das férias (01 a 30/08/2026) — salário integral em setembro.</t>
        </is>
      </c>
    </row>
    <row r="6">
      <c r="A6" s="15" t="inlineStr">
        <is>
          <t>RENALDO</t>
        </is>
      </c>
      <c r="B6" s="30" t="inlineStr">
        <is>
          <t>Registro informativo</t>
        </is>
      </c>
      <c r="C6" s="8" t="n">
        <v>30</v>
      </c>
      <c r="D6" s="14" t="inlineStr">
        <is>
          <t>dias</t>
        </is>
      </c>
      <c r="E6" s="34">
        <f>IFERROR(INDEX('HOLERITE SET.26'!$B$6:$G$6,1,MATCH(A6,'HOLERITE SET.26'!$B$4:$G$4,0)),0)</f>
        <v/>
      </c>
      <c r="F6" s="36" t="n">
        <v>0</v>
      </c>
      <c r="G6" s="20">
        <f>ROUND(C6*F6,2)</f>
        <v/>
      </c>
      <c r="H6" s="51" t="inlineStr">
        <is>
          <t>—</t>
        </is>
      </c>
      <c r="I6" s="33" t="inlineStr">
        <is>
          <t>Férias de 01 a 30/09/2026 — mês inteiro. Salário zerado no holerite; férias e 1/3 vão em recibo próprio.</t>
        </is>
      </c>
    </row>
    <row r="7">
      <c r="A7" s="52" t="n"/>
      <c r="B7" s="52" t="n"/>
      <c r="C7" s="52" t="n"/>
      <c r="D7" s="52" t="n"/>
      <c r="E7" s="34">
        <f>IFERROR(INDEX('HOLERITE SET.26'!$B$6:$G$6,1,MATCH(A7,'HOLERITE SET.26'!$B$4:$G$4,0)),0)</f>
        <v/>
      </c>
      <c r="F7" s="35" t="n"/>
      <c r="G7" s="20">
        <f>ROUND(C7*F7,2)</f>
        <v/>
      </c>
      <c r="H7" s="52" t="n"/>
      <c r="I7" s="52" t="n"/>
    </row>
    <row r="8">
      <c r="A8" s="52" t="n"/>
      <c r="B8" s="52" t="n"/>
      <c r="C8" s="52" t="n"/>
      <c r="D8" s="52" t="n"/>
      <c r="E8" s="34">
        <f>IFERROR(INDEX('HOLERITE SET.26'!$B$6:$G$6,1,MATCH(A8,'HOLERITE SET.26'!$B$4:$G$4,0)),0)</f>
        <v/>
      </c>
      <c r="F8" s="35" t="n"/>
      <c r="G8" s="20">
        <f>ROUND(C8*F8,2)</f>
        <v/>
      </c>
      <c r="H8" s="52" t="n"/>
      <c r="I8" s="52" t="n"/>
    </row>
    <row r="9">
      <c r="A9" s="52" t="n"/>
      <c r="B9" s="52" t="n"/>
      <c r="C9" s="52" t="n"/>
      <c r="D9" s="52" t="n"/>
      <c r="E9" s="34">
        <f>IFERROR(INDEX('HOLERITE SET.26'!$B$6:$G$6,1,MATCH(A9,'HOLERITE SET.26'!$B$4:$G$4,0)),0)</f>
        <v/>
      </c>
      <c r="F9" s="35" t="n"/>
      <c r="G9" s="20">
        <f>ROUND(C9*F9,2)</f>
        <v/>
      </c>
      <c r="H9" s="52" t="n"/>
      <c r="I9" s="52" t="n"/>
    </row>
    <row r="10">
      <c r="A10" s="52" t="n"/>
      <c r="B10" s="52" t="n"/>
      <c r="C10" s="52" t="n"/>
      <c r="D10" s="52" t="n"/>
      <c r="E10" s="34">
        <f>IFERROR(INDEX('HOLERITE SET.26'!$B$6:$G$6,1,MATCH(A10,'HOLERITE SET.26'!$B$4:$G$4,0)),0)</f>
        <v/>
      </c>
      <c r="F10" s="35" t="n"/>
      <c r="G10" s="20">
        <f>ROUND(C10*F10,2)</f>
        <v/>
      </c>
      <c r="H10" s="52" t="n"/>
      <c r="I10" s="52" t="n"/>
    </row>
    <row r="11">
      <c r="A11" s="52" t="n"/>
      <c r="B11" s="52" t="n"/>
      <c r="C11" s="52" t="n"/>
      <c r="D11" s="52" t="n"/>
      <c r="E11" s="34">
        <f>IFERROR(INDEX('HOLERITE SET.26'!$B$6:$G$6,1,MATCH(A11,'HOLERITE SET.26'!$B$4:$G$4,0)),0)</f>
        <v/>
      </c>
      <c r="F11" s="35" t="n"/>
      <c r="G11" s="20">
        <f>ROUND(C11*F11,2)</f>
        <v/>
      </c>
      <c r="H11" s="52" t="n"/>
      <c r="I11" s="52" t="n"/>
    </row>
    <row r="12">
      <c r="A12" s="52" t="n"/>
      <c r="B12" s="52" t="n"/>
      <c r="C12" s="52" t="n"/>
      <c r="D12" s="52" t="n"/>
      <c r="E12" s="34">
        <f>IFERROR(INDEX('HOLERITE SET.26'!$B$6:$G$6,1,MATCH(A12,'HOLERITE SET.26'!$B$4:$G$4,0)),0)</f>
        <v/>
      </c>
      <c r="F12" s="35" t="n"/>
      <c r="G12" s="20">
        <f>ROUND(C12*F12,2)</f>
        <v/>
      </c>
      <c r="H12" s="52" t="n"/>
      <c r="I12" s="52" t="n"/>
    </row>
    <row r="13">
      <c r="A13" s="52" t="n"/>
      <c r="B13" s="52" t="n"/>
      <c r="C13" s="52" t="n"/>
      <c r="D13" s="52" t="n"/>
      <c r="E13" s="34">
        <f>IFERROR(INDEX('HOLERITE SET.26'!$B$6:$G$6,1,MATCH(A13,'HOLERITE SET.26'!$B$4:$G$4,0)),0)</f>
        <v/>
      </c>
      <c r="F13" s="35" t="n"/>
      <c r="G13" s="20">
        <f>ROUND(C13*F13,2)</f>
        <v/>
      </c>
      <c r="H13" s="52" t="n"/>
      <c r="I13" s="52" t="n"/>
    </row>
    <row r="14">
      <c r="A14" s="52" t="n"/>
      <c r="B14" s="52" t="n"/>
      <c r="C14" s="52" t="n"/>
      <c r="D14" s="52" t="n"/>
      <c r="E14" s="34">
        <f>IFERROR(INDEX('HOLERITE SET.26'!$B$6:$G$6,1,MATCH(A14,'HOLERITE SET.26'!$B$4:$G$4,0)),0)</f>
        <v/>
      </c>
      <c r="F14" s="35" t="n"/>
      <c r="G14" s="20">
        <f>ROUND(C14*F14,2)</f>
        <v/>
      </c>
      <c r="H14" s="52" t="n"/>
      <c r="I14" s="52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setembro/2026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35" t="n">
        <v>150</v>
      </c>
      <c r="D5" s="8" t="n"/>
      <c r="E5" s="53">
        <f>C5*D5</f>
        <v/>
      </c>
      <c r="F5" s="35" t="n">
        <v>0</v>
      </c>
      <c r="G5" s="35" t="n">
        <v>0</v>
      </c>
      <c r="H5" s="38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35" t="n">
        <v>100</v>
      </c>
      <c r="D6" s="8" t="n"/>
      <c r="E6" s="53">
        <f>C6*D6</f>
        <v/>
      </c>
      <c r="F6" s="35" t="n">
        <v>0</v>
      </c>
      <c r="G6" s="35" t="n">
        <v>0</v>
      </c>
      <c r="H6" s="38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setembro/2026.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Comissão e incentivos vêm do relatório do InovaFarma (códigos 51 e 131, quando o relatório de setembro for extraído) — CONFIRMAR se o folguista recebe esses valores além da diária; se não receber, zerar as colunas.</t>
        </is>
      </c>
    </row>
    <row r="12">
      <c r="A12" s="9" t="inlineStr">
        <is>
          <t>Estes valores não entram no holerite: são pagamento de prestação de serviço, para baixa no contas a pagar.</t>
        </is>
      </c>
    </row>
  </sheetData>
  <autoFilter ref="A4:H6"/>
  <mergeCells count="6">
    <mergeCell ref="A9:H9"/>
    <mergeCell ref="A12:H12"/>
    <mergeCell ref="A2:H2"/>
    <mergeCell ref="A10:H10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2026-09-03T16:27:48Z</dcterms:created>
  <dcterms:modified xsi:type="dcterms:W3CDTF">2026-09-03T16:27:48Z</dcterms:modified>
</cp:coreProperties>
</file>